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E55E1962-3B49-4FC7-88A8-E0A0856C2E2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Ausgaben!$B$2:$J$174</definedName>
    <definedName name="_xlnm._FilterDatabase" localSheetId="0" hidden="1">Einnahmen!$A$2:$H$107</definedName>
    <definedName name="_xlnm.Print_Area" localSheetId="1">Ausgaben!$A$1:$I$178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9" i="1" l="1"/>
  <c r="H111" i="4" l="1"/>
  <c r="G111" i="4"/>
  <c r="E111" i="4"/>
  <c r="F111" i="4"/>
  <c r="F179" i="1"/>
  <c r="H179" i="1"/>
  <c r="I179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<sst xmlns="http://schemas.openxmlformats.org/spreadsheetml/2006/main" count="399" uniqueCount="131">
  <si>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</si>
  <si>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</si>
  <si>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</si>
  <si>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</si>
  <si>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</si>
  <si>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</si>
  <si>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</si>
  <si>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</si>
  <si>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</si>
  <si>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</si>
  <si>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</si>
  <si>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</si>
  <si>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</si>
  <si>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</si>
  <si>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</si>
  <si>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</si>
  <si>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</si>
  <si>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</si>
  <si>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</si>
  <si>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</si>
  <si>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</si>
  <si>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</si>
  <si>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</si>
  <si>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</si>
  <si>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</si>
  <si>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</si>
  <si>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</si>
  <si>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</si>
  <si>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</si>
  <si>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</si>
  <si>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</si>
  <si>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</si>
  <si>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</si>
  <si>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</si>
  <si>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</si>
  <si>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</si>
  <si>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</si>
  <si>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</si>
  <si>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</si>
  <si>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</si>
  <si>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</si>
  <si>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</si>
  <si>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</si>
  <si>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</si>
  <si>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</si>
  <si>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</si>
  <si>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</si>
  <si>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</si>
  <si>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</si>
  <si>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</si>
  <si>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</si>
  <si>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</si>
  <si>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</si>
  <si>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</si>
  <si>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</si>
  <si>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</si>
  <si>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</si>
  <si>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</si>
  <si>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</si>
  <si>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</si>
  <si>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</si>
  <si>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</si>
  <si>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</si>
  <si>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</si>
  <si>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</si>
  <si>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</si>
  <si>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</si>
  <si>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</si>
  <si>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</si>
  <si>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</si>
  <si>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</si>
  <si>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</si>
  <si>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</si>
  <si>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</si>
  <si>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</si>
  <si>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</si>
  <si>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</si>
  <si>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</si>
  <si>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</si>
  <si>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</si>
  <si>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</si>
  <si>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</si>
  <si>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</si>
  <si>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</si>
  <si>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</si>
  <si>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</si>
  <si>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</si>
  <si>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</si>
  <si>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</si>
  <si>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</si>
  <si>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</si>
  <si>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</si>
  <si>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</si>
  <si>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</si>
  <si>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</si>
  <si>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</si>
  <si>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</si>
  <si>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</si>
  <si>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</si>
  <si>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</si>
  <si>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>Awo Kreis Zinsen Kapitalfond</t>
  </si>
  <si>
    <t>AWO Bund Rückverteilung</t>
  </si>
  <si>
    <t>Spende JHV H.Heimann</t>
  </si>
  <si>
    <t>Abschluss KSK siehe Ktauszug04</t>
  </si>
  <si>
    <t>Bargeldeinzahlung 90 Günne Senioren+100tzgl+140busreise</t>
  </si>
  <si>
    <t>Radservice Spendenbox</t>
  </si>
  <si>
    <t>Radservice Brezeln</t>
  </si>
  <si>
    <t>2.Spende Radservice2026</t>
  </si>
  <si>
    <t>SPD Miete</t>
  </si>
  <si>
    <t>Tinte 83,39+  tzgl 5,99</t>
  </si>
  <si>
    <t>Wasser</t>
  </si>
  <si>
    <t>SPD Getränke 6.5.</t>
  </si>
  <si>
    <t>SPD Miete 6.5.</t>
  </si>
  <si>
    <t>Spende Muttertagsbasteln</t>
  </si>
  <si>
    <t>tzgl  12.5.</t>
  </si>
  <si>
    <t>tzgl  26.5.</t>
  </si>
  <si>
    <t>tzgl 9.6.</t>
  </si>
  <si>
    <t>AWO Bund</t>
  </si>
  <si>
    <t>Awo Open 23.6.</t>
  </si>
  <si>
    <t>tzgl 23.6.</t>
  </si>
  <si>
    <t>SPD Getränke Ferdi</t>
  </si>
  <si>
    <t>Spende an Ponde</t>
  </si>
  <si>
    <t>Spende an Awo Waldheim</t>
  </si>
  <si>
    <t>AwoOpen</t>
  </si>
  <si>
    <t>80a</t>
  </si>
  <si>
    <t>SPD 24.6. Miete</t>
  </si>
  <si>
    <t>Busreise</t>
  </si>
  <si>
    <t>D.Müller Spende</t>
  </si>
  <si>
    <t>Getränle Heißwolf</t>
  </si>
  <si>
    <t>A.Haefner Beitrag Jul-Dez</t>
  </si>
  <si>
    <t>Shirts&amp;Sonnenschirm&amp;Sonstiges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</si>
</sst>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9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14" fontId="0" fillId="0" borderId="0" xfId="0" applyNumberFormat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6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4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7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60">
      <pivotArea field="0" type="button" dataOnly="0" labelOnly="1" outline="0" axis="axisRow" fieldPosition="0"/>
    </format>
    <format dxfId="59">
      <pivotArea dataOnly="0" labelOnly="1" fieldPosition="0">
        <references count="1">
          <reference field="0" count="0"/>
        </references>
      </pivotArea>
    </format>
    <format dxfId="58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zoomScaleNormal="100" workbookViewId="0">
      <pane ySplit="2" topLeftCell="A31" activePane="bottomLeft" state="frozen"/>
      <selection pane="bottomLeft" activeCell="C55" sqref="C55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5" t="s">
        <v>1</v>
      </c>
      <c r="B1" s="86"/>
      <c r="C1" s="86"/>
      <c r="D1" s="86"/>
      <c r="E1" s="86"/>
      <c r="F1" s="86"/>
      <c r="G1" s="86"/>
      <c r="H1" s="86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2" t="s">
        <v>24</v>
      </c>
      <c r="E29" s="19"/>
      <c r="F29" s="20">
        <v>250</v>
      </c>
      <c r="G29" s="17"/>
      <c r="H29" s="17"/>
      <c r="I29" s="2"/>
      <c r="J29" s="2"/>
    </row>
    <row r="30" spans="1:10" s="1" customFormat="1" ht="15" customHeight="1" x14ac:dyDescent="0.3">
      <c r="A30" s="14">
        <v>46121</v>
      </c>
      <c r="B30" s="15">
        <v>26</v>
      </c>
      <c r="C30" s="3" t="s">
        <v>101</v>
      </c>
      <c r="D30" s="2" t="s">
        <v>26</v>
      </c>
      <c r="E30" s="19"/>
      <c r="F30" s="20">
        <v>22.19</v>
      </c>
      <c r="G30" s="17"/>
      <c r="H30" s="17"/>
      <c r="I30" s="2"/>
      <c r="J30" s="2"/>
    </row>
    <row r="31" spans="1:10" s="1" customFormat="1" ht="15" customHeight="1" x14ac:dyDescent="0.3">
      <c r="A31" s="14">
        <v>46121</v>
      </c>
      <c r="B31" s="15">
        <v>27</v>
      </c>
      <c r="C31" s="3" t="s">
        <v>102</v>
      </c>
      <c r="D31" s="18" t="s">
        <v>12</v>
      </c>
      <c r="E31" s="19"/>
      <c r="F31" s="20">
        <v>50</v>
      </c>
      <c r="G31" s="17"/>
      <c r="H31" s="17"/>
      <c r="I31" s="2"/>
      <c r="J31" s="2"/>
    </row>
    <row r="32" spans="1:10" s="1" customFormat="1" ht="15" customHeight="1" x14ac:dyDescent="0.3">
      <c r="A32" s="14">
        <v>46129</v>
      </c>
      <c r="B32" s="15">
        <v>28</v>
      </c>
      <c r="C32" s="15" t="s">
        <v>104</v>
      </c>
      <c r="D32" s="3" t="s">
        <v>0</v>
      </c>
      <c r="E32" s="16"/>
      <c r="F32" s="17"/>
      <c r="G32" s="17"/>
      <c r="H32" s="17">
        <v>330</v>
      </c>
      <c r="I32" s="2"/>
      <c r="J32" s="2"/>
    </row>
    <row r="33" spans="1:10" s="1" customFormat="1" ht="15" customHeight="1" x14ac:dyDescent="0.3">
      <c r="A33" s="14">
        <v>46139</v>
      </c>
      <c r="B33" s="15">
        <v>29</v>
      </c>
      <c r="C33" s="15" t="s">
        <v>105</v>
      </c>
      <c r="D33" s="3" t="s">
        <v>0</v>
      </c>
      <c r="E33" s="19"/>
      <c r="F33" s="20">
        <v>128.5</v>
      </c>
      <c r="G33" s="17"/>
      <c r="H33" s="17"/>
      <c r="I33" s="2"/>
      <c r="J33" s="2"/>
    </row>
    <row r="34" spans="1:10" s="1" customFormat="1" ht="15" customHeight="1" x14ac:dyDescent="0.3">
      <c r="A34" s="14">
        <v>46146</v>
      </c>
      <c r="B34" s="15">
        <v>30</v>
      </c>
      <c r="C34" s="15" t="s">
        <v>46</v>
      </c>
      <c r="D34" s="3" t="s">
        <v>0</v>
      </c>
      <c r="E34" s="16"/>
      <c r="F34" s="17"/>
      <c r="G34" s="17"/>
      <c r="H34" s="17">
        <v>100</v>
      </c>
      <c r="I34" s="2"/>
      <c r="J34" s="2"/>
    </row>
    <row r="35" spans="1:10" s="1" customFormat="1" ht="15" customHeight="1" x14ac:dyDescent="0.3">
      <c r="A35" s="14">
        <v>46146</v>
      </c>
      <c r="B35" s="15">
        <v>31</v>
      </c>
      <c r="C35" s="15" t="s">
        <v>107</v>
      </c>
      <c r="D35" s="3" t="s">
        <v>0</v>
      </c>
      <c r="E35" s="16"/>
      <c r="F35" s="17"/>
      <c r="G35" s="17"/>
      <c r="H35" s="17">
        <v>10</v>
      </c>
      <c r="I35" s="2"/>
      <c r="J35" s="2"/>
    </row>
    <row r="36" spans="1:10" s="1" customFormat="1" ht="15" customHeight="1" x14ac:dyDescent="0.3">
      <c r="A36" s="14">
        <v>46146</v>
      </c>
      <c r="B36" s="15">
        <v>32</v>
      </c>
      <c r="C36" s="15" t="s">
        <v>81</v>
      </c>
      <c r="D36" s="3" t="s">
        <v>0</v>
      </c>
      <c r="E36" s="16"/>
      <c r="F36" s="17"/>
      <c r="G36" s="17"/>
      <c r="H36" s="17">
        <v>42.5</v>
      </c>
      <c r="I36" s="2"/>
      <c r="J36" s="2"/>
    </row>
    <row r="37" spans="1:10" s="1" customFormat="1" ht="15" customHeight="1" x14ac:dyDescent="0.3">
      <c r="A37" s="14">
        <v>46146</v>
      </c>
      <c r="B37" s="15">
        <v>33</v>
      </c>
      <c r="C37" s="15" t="s">
        <v>108</v>
      </c>
      <c r="D37" s="3" t="s">
        <v>0</v>
      </c>
      <c r="E37" s="16"/>
      <c r="F37" s="17"/>
      <c r="G37" s="17"/>
      <c r="H37" s="17">
        <v>20</v>
      </c>
      <c r="I37" s="2"/>
      <c r="J37" s="2"/>
    </row>
    <row r="38" spans="1:10" s="1" customFormat="1" ht="15" customHeight="1" x14ac:dyDescent="0.3">
      <c r="A38" s="14">
        <v>46150</v>
      </c>
      <c r="B38" s="15">
        <v>34</v>
      </c>
      <c r="C38" s="15" t="s">
        <v>111</v>
      </c>
      <c r="D38" s="3" t="s">
        <v>0</v>
      </c>
      <c r="E38" s="19"/>
      <c r="G38" s="17"/>
      <c r="H38" s="20">
        <v>28</v>
      </c>
      <c r="I38" s="2"/>
      <c r="J38" s="2"/>
    </row>
    <row r="39" spans="1:10" s="1" customFormat="1" ht="15" customHeight="1" x14ac:dyDescent="0.3">
      <c r="A39" s="14">
        <v>46153</v>
      </c>
      <c r="B39" s="48">
        <v>35</v>
      </c>
      <c r="C39" s="15" t="s">
        <v>112</v>
      </c>
      <c r="D39" s="3" t="s">
        <v>0</v>
      </c>
      <c r="E39" s="16"/>
      <c r="F39" s="17"/>
      <c r="G39" s="17"/>
      <c r="H39" s="17">
        <v>20</v>
      </c>
      <c r="I39" s="2"/>
      <c r="J39" s="2"/>
    </row>
    <row r="40" spans="1:10" s="1" customFormat="1" ht="15" customHeight="1" x14ac:dyDescent="0.3">
      <c r="A40" s="14">
        <v>46160</v>
      </c>
      <c r="B40" s="15">
        <v>36</v>
      </c>
      <c r="C40" s="37" t="s">
        <v>113</v>
      </c>
      <c r="D40" s="3" t="s">
        <v>0</v>
      </c>
      <c r="E40" s="16"/>
      <c r="F40" s="17">
        <v>30</v>
      </c>
      <c r="G40" s="17"/>
      <c r="H40" s="17"/>
      <c r="I40" s="2"/>
      <c r="J40" s="2"/>
    </row>
    <row r="41" spans="1:10" s="1" customFormat="1" ht="15" customHeight="1" x14ac:dyDescent="0.3">
      <c r="A41" s="14">
        <v>46168</v>
      </c>
      <c r="B41" s="15">
        <v>37</v>
      </c>
      <c r="C41" s="3" t="s">
        <v>114</v>
      </c>
      <c r="D41" s="3" t="s">
        <v>0</v>
      </c>
      <c r="E41" s="16"/>
      <c r="F41" s="17"/>
      <c r="G41" s="17"/>
      <c r="H41" s="17">
        <v>108</v>
      </c>
      <c r="I41" s="2"/>
      <c r="J41" s="2"/>
    </row>
    <row r="42" spans="1:10" s="1" customFormat="1" ht="15" customHeight="1" x14ac:dyDescent="0.3">
      <c r="A42" s="14">
        <v>46174</v>
      </c>
      <c r="B42" s="15">
        <v>38</v>
      </c>
      <c r="C42" s="3" t="s">
        <v>115</v>
      </c>
      <c r="D42" s="3" t="s">
        <v>0</v>
      </c>
      <c r="E42" s="16"/>
      <c r="F42" s="17"/>
      <c r="G42" s="17"/>
      <c r="H42" s="17">
        <v>80</v>
      </c>
      <c r="I42" s="2"/>
      <c r="J42" s="2"/>
    </row>
    <row r="43" spans="1:10" s="1" customFormat="1" ht="15" customHeight="1" x14ac:dyDescent="0.3">
      <c r="A43" s="14">
        <v>46184</v>
      </c>
      <c r="B43" s="48">
        <v>39</v>
      </c>
      <c r="C43" s="37" t="s">
        <v>116</v>
      </c>
      <c r="D43" s="3" t="s">
        <v>0</v>
      </c>
      <c r="E43" s="19"/>
      <c r="F43" s="20"/>
      <c r="G43" s="17"/>
      <c r="H43" s="17">
        <v>85</v>
      </c>
      <c r="I43" s="2"/>
      <c r="J43" s="2"/>
    </row>
    <row r="44" spans="1:10" s="1" customFormat="1" ht="15" customHeight="1" x14ac:dyDescent="0.3">
      <c r="A44" s="14">
        <v>46197</v>
      </c>
      <c r="B44" s="15">
        <v>40</v>
      </c>
      <c r="C44" s="3" t="s">
        <v>117</v>
      </c>
      <c r="D44" s="18" t="s">
        <v>26</v>
      </c>
      <c r="E44" s="19"/>
      <c r="F44" s="20">
        <v>22.19</v>
      </c>
      <c r="G44" s="17"/>
      <c r="H44" s="17"/>
      <c r="I44" s="2"/>
      <c r="J44" s="2"/>
    </row>
    <row r="45" spans="1:10" s="1" customFormat="1" ht="15" customHeight="1" x14ac:dyDescent="0.3">
      <c r="A45" s="14">
        <v>46198</v>
      </c>
      <c r="B45" s="15">
        <v>41</v>
      </c>
      <c r="C45" s="3" t="s">
        <v>118</v>
      </c>
      <c r="D45" s="3" t="s">
        <v>0</v>
      </c>
      <c r="E45" s="19"/>
      <c r="F45" s="20"/>
      <c r="G45" s="17"/>
      <c r="H45" s="17">
        <v>33</v>
      </c>
      <c r="I45" s="2"/>
      <c r="J45" s="2"/>
    </row>
    <row r="46" spans="1:10" s="1" customFormat="1" ht="15" customHeight="1" x14ac:dyDescent="0.3">
      <c r="A46" s="14">
        <v>46199</v>
      </c>
      <c r="B46" s="15">
        <v>42</v>
      </c>
      <c r="C46" s="3" t="s">
        <v>119</v>
      </c>
      <c r="D46" s="3" t="s">
        <v>0</v>
      </c>
      <c r="E46" s="19"/>
      <c r="F46" s="20"/>
      <c r="G46" s="17"/>
      <c r="H46" s="17">
        <v>61</v>
      </c>
      <c r="I46" s="2"/>
      <c r="J46" s="2"/>
    </row>
    <row r="47" spans="1:10" s="1" customFormat="1" ht="15" customHeight="1" x14ac:dyDescent="0.3">
      <c r="A47" s="14">
        <v>46199</v>
      </c>
      <c r="B47" s="15">
        <v>43</v>
      </c>
      <c r="C47" s="3" t="s">
        <v>81</v>
      </c>
      <c r="D47" s="3" t="s">
        <v>0</v>
      </c>
      <c r="E47" s="19"/>
      <c r="F47" s="20"/>
      <c r="G47" s="17"/>
      <c r="H47" s="17">
        <v>6</v>
      </c>
      <c r="I47" s="2"/>
      <c r="J47" s="2"/>
    </row>
    <row r="48" spans="1:10" s="1" customFormat="1" ht="15" customHeight="1" x14ac:dyDescent="0.3">
      <c r="A48" s="14">
        <v>46199</v>
      </c>
      <c r="B48" s="15">
        <v>44</v>
      </c>
      <c r="C48" s="3" t="s">
        <v>120</v>
      </c>
      <c r="D48" s="3" t="s">
        <v>0</v>
      </c>
      <c r="E48" s="16"/>
      <c r="F48" s="17">
        <v>2</v>
      </c>
      <c r="G48" s="17"/>
      <c r="H48" s="17"/>
      <c r="I48" s="2"/>
      <c r="J48" s="2"/>
    </row>
    <row r="49" spans="1:10" s="1" customFormat="1" ht="15" customHeight="1" x14ac:dyDescent="0.3">
      <c r="A49" s="84">
        <v>46202</v>
      </c>
      <c r="B49" s="15">
        <v>45</v>
      </c>
      <c r="C49" s="3" t="s">
        <v>125</v>
      </c>
      <c r="D49" s="3" t="s">
        <v>0</v>
      </c>
      <c r="E49" s="16"/>
      <c r="F49" s="17"/>
      <c r="G49" s="17"/>
      <c r="H49" s="17">
        <v>20</v>
      </c>
      <c r="I49" s="2"/>
      <c r="J49" s="2"/>
    </row>
    <row r="50" spans="1:10" s="1" customFormat="1" ht="15" customHeight="1" x14ac:dyDescent="0.3">
      <c r="A50" s="14">
        <v>46203</v>
      </c>
      <c r="B50" s="15">
        <v>46</v>
      </c>
      <c r="C50" s="3" t="s">
        <v>126</v>
      </c>
      <c r="D50" s="18" t="s">
        <v>13</v>
      </c>
      <c r="E50" s="19"/>
      <c r="F50" s="20"/>
      <c r="G50" s="17"/>
      <c r="H50" s="17">
        <v>110</v>
      </c>
      <c r="I50" s="2"/>
      <c r="J50" s="2"/>
    </row>
    <row r="51" spans="1:10" s="1" customFormat="1" ht="15" customHeight="1" x14ac:dyDescent="0.3">
      <c r="A51" s="14">
        <v>46203</v>
      </c>
      <c r="B51" s="15">
        <v>47</v>
      </c>
      <c r="C51" s="3" t="s">
        <v>127</v>
      </c>
      <c r="D51" s="18" t="s">
        <v>12</v>
      </c>
      <c r="E51" s="16"/>
      <c r="F51" s="17"/>
      <c r="G51" s="17"/>
      <c r="H51" s="17">
        <v>100</v>
      </c>
      <c r="I51" s="2"/>
      <c r="J51" s="2"/>
    </row>
    <row r="52" spans="1:10" s="1" customFormat="1" ht="15" customHeight="1" x14ac:dyDescent="0.3">
      <c r="A52" s="14">
        <v>46203</v>
      </c>
      <c r="B52" s="15">
        <v>48</v>
      </c>
      <c r="C52" s="3" t="s">
        <v>128</v>
      </c>
      <c r="D52" s="3" t="s">
        <v>0</v>
      </c>
      <c r="E52" s="19"/>
      <c r="F52" s="17"/>
      <c r="G52" s="17"/>
      <c r="H52" s="17">
        <v>20</v>
      </c>
      <c r="I52" s="2"/>
      <c r="J52" s="2"/>
    </row>
    <row r="53" spans="1:10" s="1" customFormat="1" ht="15" customHeight="1" x14ac:dyDescent="0.3">
      <c r="A53" s="14">
        <v>46206</v>
      </c>
      <c r="B53" s="15">
        <v>49</v>
      </c>
      <c r="C53" s="3" t="s">
        <v>129</v>
      </c>
      <c r="D53" s="18" t="s">
        <v>26</v>
      </c>
      <c r="E53" s="19"/>
      <c r="F53" s="20"/>
      <c r="G53" s="17"/>
      <c r="H53" s="17">
        <v>15</v>
      </c>
      <c r="I53" s="2"/>
      <c r="J53" s="2"/>
    </row>
    <row r="54" spans="1:10" s="1" customFormat="1" ht="15" customHeight="1" x14ac:dyDescent="0.3">
      <c r="A54" s="14"/>
      <c r="B54" s="15">
        <v>50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51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52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53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54</v>
      </c>
      <c r="C58" s="3"/>
      <c r="D58" s="18"/>
      <c r="E58" s="16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55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56</v>
      </c>
      <c r="C60" s="3"/>
      <c r="D60" s="18"/>
      <c r="E60" s="19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15">
        <v>57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58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59</v>
      </c>
      <c r="C63" s="3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60</v>
      </c>
      <c r="C64" s="37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61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48">
        <v>62</v>
      </c>
      <c r="C66" s="3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15">
        <v>63</v>
      </c>
      <c r="C67" s="15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48">
        <v>64</v>
      </c>
      <c r="C68" s="37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5970.5700000000234</v>
      </c>
      <c r="G111" s="26">
        <f>SUM(G3:G110)</f>
        <v>2000.5</v>
      </c>
      <c r="H111" s="26">
        <f>SUM(H3:H110)</f>
        <v>7140.11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E111+Ausgaben!F179</f>
        <v>0</v>
      </c>
      <c r="F113" s="26">
        <f>F111+Ausgaben!G179</f>
        <v>1219.6700000000274</v>
      </c>
      <c r="G113" s="26">
        <f>G111+Ausgaben!H179</f>
        <v>2000.5</v>
      </c>
      <c r="H113" s="26">
        <f>H111+Ausgaben!I179</f>
        <v>3553.7599999999998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6773.9300000000276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D6 D8:D9 D11:D14 G24:H24 E54:F58 D61:G68 D69:D77 E73:G77 A94:A97">
    <cfRule type="cellIs" dxfId="54" priority="68" stopIfTrue="1" operator="lessThan">
      <formula>0</formula>
    </cfRule>
  </conditionalFormatting>
  <conditionalFormatting sqref="D20:D22 D31 D41:D61">
    <cfRule type="cellIs" dxfId="53" priority="6" stopIfTrue="1" operator="lessThan">
      <formula>0</formula>
    </cfRule>
  </conditionalFormatting>
  <conditionalFormatting sqref="D83:D89">
    <cfRule type="cellIs" dxfId="52" priority="27" stopIfTrue="1" operator="lessThan">
      <formula>0</formula>
    </cfRule>
  </conditionalFormatting>
  <conditionalFormatting sqref="D82:F82">
    <cfRule type="cellIs" dxfId="51" priority="28" stopIfTrue="1" operator="lessThan">
      <formula>0</formula>
    </cfRule>
  </conditionalFormatting>
  <conditionalFormatting sqref="D78:G81">
    <cfRule type="cellIs" dxfId="50" priority="29" stopIfTrue="1" operator="lessThan">
      <formula>0</formula>
    </cfRule>
  </conditionalFormatting>
  <conditionalFormatting sqref="D101:G110">
    <cfRule type="cellIs" dxfId="49" priority="61" stopIfTrue="1" operator="lessThan">
      <formula>0</formula>
    </cfRule>
  </conditionalFormatting>
  <conditionalFormatting sqref="E24">
    <cfRule type="cellIs" dxfId="48" priority="88" stopIfTrue="1" operator="lessThan">
      <formula>0</formula>
    </cfRule>
  </conditionalFormatting>
  <conditionalFormatting sqref="E41:F42">
    <cfRule type="cellIs" dxfId="47" priority="1" stopIfTrue="1" operator="lessThan">
      <formula>0</formula>
    </cfRule>
  </conditionalFormatting>
  <conditionalFormatting sqref="E34:G37 G38 E39:G40">
    <cfRule type="cellIs" dxfId="46" priority="50" stopIfTrue="1" operator="lessThan">
      <formula>0</formula>
    </cfRule>
  </conditionalFormatting>
  <conditionalFormatting sqref="E48:G49 G50:G51 E51:F51 F52:G52 G53:G58">
    <cfRule type="cellIs" dxfId="45" priority="108" stopIfTrue="1" operator="lessThan">
      <formula>0</formula>
    </cfRule>
  </conditionalFormatting>
  <conditionalFormatting sqref="E69:G71 G82:G83">
    <cfRule type="cellIs" dxfId="44" priority="82" stopIfTrue="1" operator="lessThan">
      <formula>0</formula>
    </cfRule>
  </conditionalFormatting>
  <conditionalFormatting sqref="E84:G89 D90:G98">
    <cfRule type="cellIs" dxfId="43" priority="64" stopIfTrue="1" operator="lessThan">
      <formula>0</formula>
    </cfRule>
  </conditionalFormatting>
  <conditionalFormatting sqref="E3:H3">
    <cfRule type="cellIs" dxfId="42" priority="13" stopIfTrue="1" operator="lessThan">
      <formula>0</formula>
    </cfRule>
  </conditionalFormatting>
  <conditionalFormatting sqref="E32:H32">
    <cfRule type="cellIs" dxfId="41" priority="2" stopIfTrue="1" operator="lessThan">
      <formula>0</formula>
    </cfRule>
  </conditionalFormatting>
  <conditionalFormatting sqref="F25:G25">
    <cfRule type="cellIs" dxfId="40" priority="283" stopIfTrue="1" operator="lessThan">
      <formula>0</formula>
    </cfRule>
  </conditionalFormatting>
  <conditionalFormatting sqref="F59:G60">
    <cfRule type="cellIs" dxfId="39" priority="25" stopIfTrue="1" operator="lessThan">
      <formula>0</formula>
    </cfRule>
  </conditionalFormatting>
  <conditionalFormatting sqref="F72:G72">
    <cfRule type="cellIs" dxfId="38" priority="80" stopIfTrue="1" operator="lessThan">
      <formula>0</formula>
    </cfRule>
  </conditionalFormatting>
  <conditionalFormatting sqref="G4:G13 A93:C93">
    <cfRule type="cellIs" dxfId="37" priority="196" stopIfTrue="1" operator="lessThan">
      <formula>0</formula>
    </cfRule>
  </conditionalFormatting>
  <conditionalFormatting sqref="G26:G27">
    <cfRule type="cellIs" dxfId="36" priority="280" stopIfTrue="1" operator="lessThan">
      <formula>0</formula>
    </cfRule>
  </conditionalFormatting>
  <conditionalFormatting sqref="G99 E100:G100 D110:H110 E111:H175 D115">
    <cfRule type="cellIs" dxfId="35" priority="362" stopIfTrue="1" operator="lessThan">
      <formula>0</formula>
    </cfRule>
  </conditionalFormatting>
  <conditionalFormatting sqref="G11:H22">
    <cfRule type="cellIs" dxfId="34" priority="5" stopIfTrue="1" operator="lessThan">
      <formula>0</formula>
    </cfRule>
  </conditionalFormatting>
  <conditionalFormatting sqref="G28:H31 G33:H33">
    <cfRule type="cellIs" dxfId="33" priority="57" stopIfTrue="1" operator="lessThan">
      <formula>0</formula>
    </cfRule>
  </conditionalFormatting>
  <conditionalFormatting sqref="H4:H10 B83">
    <cfRule type="cellIs" dxfId="32" priority="210" stopIfTrue="1" operator="lessThan">
      <formula>0</formula>
    </cfRule>
  </conditionalFormatting>
  <conditionalFormatting sqref="H25:H27">
    <cfRule type="cellIs" dxfId="31" priority="4" stopIfTrue="1" operator="lessThan">
      <formula>0</formula>
    </cfRule>
  </conditionalFormatting>
  <conditionalFormatting sqref="H34:H40 G41:H47 H48:H110 C99:D100">
    <cfRule type="cellIs" dxfId="30" priority="63" stopIfTrue="1" operator="lessThan">
      <formula>0</formula>
    </cfRule>
  </conditionalFormatting>
  <dataValidations count="1">
    <dataValidation type="list" allowBlank="1" showInputMessage="1" showErrorMessage="1" sqref="D3 D6 D8:D9 D11:D14 D17:D22 D24:D28 D31:D11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5"/>
  <sheetViews>
    <sheetView showGridLines="0" tabSelected="1" zoomScaleNormal="100" workbookViewId="0">
      <pane ySplit="2" topLeftCell="A73" activePane="bottomLeft" state="frozen"/>
      <selection pane="bottomLeft" activeCell="G94" sqref="G94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7" t="s">
        <v>2</v>
      </c>
      <c r="C1" s="86"/>
      <c r="D1" s="86"/>
      <c r="E1" s="88"/>
      <c r="F1" s="86"/>
      <c r="G1" s="86"/>
      <c r="H1" s="86"/>
      <c r="I1" s="86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46127</v>
      </c>
      <c r="C61" s="48">
        <v>57</v>
      </c>
      <c r="D61" s="3" t="s">
        <v>52</v>
      </c>
      <c r="E61" s="82" t="s">
        <v>21</v>
      </c>
      <c r="F61" s="19"/>
      <c r="G61" s="20">
        <v>-18.36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46132</v>
      </c>
      <c r="C62" s="48">
        <v>58</v>
      </c>
      <c r="D62" s="3" t="s">
        <v>46</v>
      </c>
      <c r="E62" s="3" t="s">
        <v>0</v>
      </c>
      <c r="F62" s="19"/>
      <c r="G62" s="20">
        <v>-19.45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46139</v>
      </c>
      <c r="C63" s="48">
        <v>59</v>
      </c>
      <c r="D63" s="3" t="s">
        <v>106</v>
      </c>
      <c r="E63" s="3" t="s">
        <v>0</v>
      </c>
      <c r="F63" s="19"/>
      <c r="G63" s="20">
        <v>-19.600000000000001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46139</v>
      </c>
      <c r="C64" s="48">
        <v>60</v>
      </c>
      <c r="D64" s="81" t="s">
        <v>55</v>
      </c>
      <c r="E64" s="82" t="s">
        <v>21</v>
      </c>
      <c r="F64" s="19"/>
      <c r="G64" s="20">
        <v>-4.99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46142</v>
      </c>
      <c r="C65" s="48">
        <v>61</v>
      </c>
      <c r="D65" s="3" t="s">
        <v>103</v>
      </c>
      <c r="E65" s="3" t="s">
        <v>13</v>
      </c>
      <c r="F65" s="19"/>
      <c r="G65" s="20"/>
      <c r="H65" s="20"/>
      <c r="I65" s="20">
        <v>-7.5</v>
      </c>
      <c r="J65" s="4"/>
      <c r="K65" s="2"/>
      <c r="L65" s="2"/>
    </row>
    <row r="66" spans="1:12" ht="15" customHeight="1" x14ac:dyDescent="0.3">
      <c r="A66" s="41"/>
      <c r="B66" s="14">
        <v>46147</v>
      </c>
      <c r="C66" s="48">
        <v>62</v>
      </c>
      <c r="D66" s="3" t="s">
        <v>51</v>
      </c>
      <c r="E66" s="82" t="s">
        <v>21</v>
      </c>
      <c r="F66" s="19"/>
      <c r="G66" s="20">
        <v>-47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46147</v>
      </c>
      <c r="C67" s="48">
        <v>63</v>
      </c>
      <c r="D67" s="3" t="s">
        <v>51</v>
      </c>
      <c r="E67" s="82" t="s">
        <v>21</v>
      </c>
      <c r="F67" s="19"/>
      <c r="G67" s="20">
        <v>-89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46147</v>
      </c>
      <c r="C68" s="48">
        <v>64</v>
      </c>
      <c r="D68" s="3" t="s">
        <v>20</v>
      </c>
      <c r="E68" s="82" t="s">
        <v>21</v>
      </c>
      <c r="F68" s="16"/>
      <c r="G68" s="20">
        <v>-12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46148</v>
      </c>
      <c r="C69" s="48">
        <v>65</v>
      </c>
      <c r="D69" s="3" t="s">
        <v>109</v>
      </c>
      <c r="E69" s="2" t="s">
        <v>14</v>
      </c>
      <c r="F69" s="16"/>
      <c r="G69" s="20">
        <v>-83.39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46148</v>
      </c>
      <c r="C70" s="48">
        <v>66</v>
      </c>
      <c r="D70" s="3" t="s">
        <v>109</v>
      </c>
      <c r="E70" s="3" t="s">
        <v>0</v>
      </c>
      <c r="F70" s="19"/>
      <c r="G70" s="19">
        <v>-5.99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46150</v>
      </c>
      <c r="C71" s="48">
        <v>67</v>
      </c>
      <c r="D71" s="81" t="s">
        <v>46</v>
      </c>
      <c r="E71" s="3" t="s">
        <v>0</v>
      </c>
      <c r="F71" s="19"/>
      <c r="G71" s="20">
        <v>-7.64</v>
      </c>
      <c r="H71" s="20"/>
      <c r="I71" s="20"/>
      <c r="J71" s="4"/>
      <c r="K71" s="2"/>
      <c r="L71" s="2"/>
    </row>
    <row r="72" spans="1:12" ht="15" customHeight="1" x14ac:dyDescent="0.3">
      <c r="A72" s="41"/>
      <c r="B72" s="14">
        <v>46157</v>
      </c>
      <c r="C72" s="48">
        <v>68</v>
      </c>
      <c r="D72" s="81" t="s">
        <v>110</v>
      </c>
      <c r="E72" s="82" t="s">
        <v>21</v>
      </c>
      <c r="F72" s="19"/>
      <c r="G72" s="20">
        <v>-17.21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46160</v>
      </c>
      <c r="C73" s="48">
        <v>69</v>
      </c>
      <c r="D73" s="81" t="s">
        <v>83</v>
      </c>
      <c r="E73" s="3" t="s">
        <v>13</v>
      </c>
      <c r="F73" s="19"/>
      <c r="G73" s="20">
        <v>-160.59</v>
      </c>
      <c r="H73" s="19"/>
      <c r="I73" s="20"/>
      <c r="J73" s="4"/>
      <c r="K73" s="2"/>
      <c r="L73" s="2"/>
    </row>
    <row r="74" spans="1:12" ht="15" customHeight="1" x14ac:dyDescent="0.3">
      <c r="A74" s="41"/>
      <c r="B74" s="14">
        <v>46161</v>
      </c>
      <c r="C74" s="48">
        <v>70</v>
      </c>
      <c r="D74" s="3" t="s">
        <v>46</v>
      </c>
      <c r="E74" s="3" t="s">
        <v>0</v>
      </c>
      <c r="F74" s="19"/>
      <c r="G74" s="20">
        <v>-3.4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46161</v>
      </c>
      <c r="C75" s="48">
        <v>71</v>
      </c>
      <c r="D75" s="3" t="s">
        <v>69</v>
      </c>
      <c r="E75" s="3" t="s">
        <v>13</v>
      </c>
      <c r="F75" s="19"/>
      <c r="G75" s="20"/>
      <c r="H75" s="20"/>
      <c r="I75" s="20">
        <v>-10.5</v>
      </c>
      <c r="J75" s="4"/>
      <c r="K75" s="2"/>
      <c r="L75" s="2"/>
    </row>
    <row r="76" spans="1:12" ht="15" customHeight="1" x14ac:dyDescent="0.3">
      <c r="A76" s="41"/>
      <c r="B76" s="14">
        <v>46168</v>
      </c>
      <c r="C76" s="48">
        <v>72</v>
      </c>
      <c r="D76" s="81" t="s">
        <v>55</v>
      </c>
      <c r="E76" s="82" t="s">
        <v>21</v>
      </c>
      <c r="F76" s="19"/>
      <c r="G76" s="20">
        <v>-4.99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46174</v>
      </c>
      <c r="C77" s="48">
        <v>73</v>
      </c>
      <c r="D77" s="3" t="s">
        <v>20</v>
      </c>
      <c r="E77" s="82" t="s">
        <v>21</v>
      </c>
      <c r="F77" s="16"/>
      <c r="G77" s="20">
        <v>-12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46175</v>
      </c>
      <c r="C78" s="48">
        <v>74</v>
      </c>
      <c r="D78" s="3" t="s">
        <v>51</v>
      </c>
      <c r="E78" s="82" t="s">
        <v>21</v>
      </c>
      <c r="F78" s="19"/>
      <c r="G78" s="20">
        <v>-47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46175</v>
      </c>
      <c r="C79" s="48">
        <v>75</v>
      </c>
      <c r="D79" s="3" t="s">
        <v>51</v>
      </c>
      <c r="E79" s="82" t="s">
        <v>21</v>
      </c>
      <c r="F79" s="19"/>
      <c r="G79" s="20">
        <v>-89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46184</v>
      </c>
      <c r="C80" s="48">
        <v>76</v>
      </c>
      <c r="D80" s="3" t="s">
        <v>121</v>
      </c>
      <c r="E80" s="82" t="s">
        <v>12</v>
      </c>
      <c r="F80" s="19"/>
      <c r="G80" s="20">
        <v>-300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46184</v>
      </c>
      <c r="C81" s="48">
        <v>77</v>
      </c>
      <c r="D81" s="3" t="s">
        <v>122</v>
      </c>
      <c r="E81" s="82" t="s">
        <v>12</v>
      </c>
      <c r="F81" s="19"/>
      <c r="G81" s="20">
        <v>-120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46184</v>
      </c>
      <c r="C82" s="48">
        <v>78</v>
      </c>
      <c r="D82" s="3" t="s">
        <v>46</v>
      </c>
      <c r="E82" s="3" t="s">
        <v>0</v>
      </c>
      <c r="F82" s="19"/>
      <c r="G82" s="20">
        <v>-9.3699999999999992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46188</v>
      </c>
      <c r="C83" s="48">
        <v>79</v>
      </c>
      <c r="D83" s="3" t="s">
        <v>46</v>
      </c>
      <c r="E83" s="3" t="s">
        <v>0</v>
      </c>
      <c r="F83" s="19"/>
      <c r="G83" s="20">
        <v>-12.95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46197</v>
      </c>
      <c r="C84" s="48">
        <v>80</v>
      </c>
      <c r="D84" s="3" t="s">
        <v>46</v>
      </c>
      <c r="E84" s="3" t="s">
        <v>0</v>
      </c>
      <c r="F84" s="19"/>
      <c r="G84" s="20">
        <v>-20.99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46198</v>
      </c>
      <c r="C85" s="48" t="s">
        <v>124</v>
      </c>
      <c r="D85" s="81" t="s">
        <v>55</v>
      </c>
      <c r="E85" s="82" t="s">
        <v>21</v>
      </c>
      <c r="F85" s="19"/>
      <c r="G85" s="20">
        <v>-4.99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46199</v>
      </c>
      <c r="C86" s="48">
        <v>81</v>
      </c>
      <c r="D86" s="3" t="s">
        <v>123</v>
      </c>
      <c r="E86" s="3" t="s">
        <v>0</v>
      </c>
      <c r="F86" s="19"/>
      <c r="G86" s="20">
        <v>-22.94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46204</v>
      </c>
      <c r="C87" s="48">
        <v>82</v>
      </c>
      <c r="D87" s="3" t="s">
        <v>20</v>
      </c>
      <c r="E87" s="82" t="s">
        <v>21</v>
      </c>
      <c r="F87" s="16"/>
      <c r="G87" s="20">
        <v>-12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46205</v>
      </c>
      <c r="C88" s="48">
        <v>83</v>
      </c>
      <c r="D88" s="3" t="s">
        <v>51</v>
      </c>
      <c r="E88" s="82" t="s">
        <v>21</v>
      </c>
      <c r="F88" s="19"/>
      <c r="G88" s="20">
        <v>-47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46205</v>
      </c>
      <c r="C89" s="48">
        <v>84</v>
      </c>
      <c r="D89" s="3" t="s">
        <v>51</v>
      </c>
      <c r="E89" s="82" t="s">
        <v>21</v>
      </c>
      <c r="F89" s="19"/>
      <c r="G89" s="20">
        <v>-89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46211</v>
      </c>
      <c r="C90" s="48">
        <v>85</v>
      </c>
      <c r="D90" s="3" t="s">
        <v>46</v>
      </c>
      <c r="E90" s="3" t="s">
        <v>0</v>
      </c>
      <c r="F90" s="19"/>
      <c r="G90" s="20">
        <v>-16.940000000000001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46214</v>
      </c>
      <c r="C91" s="48">
        <v>86</v>
      </c>
      <c r="D91" s="3" t="s">
        <v>130</v>
      </c>
      <c r="E91" s="3" t="s">
        <v>0</v>
      </c>
      <c r="F91" s="19"/>
      <c r="G91" s="20"/>
      <c r="H91" s="20"/>
      <c r="I91" s="20">
        <v>-190.09</v>
      </c>
      <c r="J91" s="4"/>
      <c r="K91" s="2"/>
      <c r="L91" s="2"/>
    </row>
    <row r="92" spans="1:12" ht="15" customHeight="1" x14ac:dyDescent="0.3">
      <c r="A92" s="41"/>
      <c r="B92" s="14">
        <v>46214</v>
      </c>
      <c r="C92" s="48">
        <v>87</v>
      </c>
      <c r="D92" s="3" t="s">
        <v>130</v>
      </c>
      <c r="E92" s="3" t="s">
        <v>0</v>
      </c>
      <c r="F92" s="19"/>
      <c r="G92" s="20"/>
      <c r="H92" s="20"/>
      <c r="I92" s="20">
        <v>-189.85</v>
      </c>
      <c r="J92" s="4"/>
      <c r="K92" s="2"/>
      <c r="L92" s="2"/>
    </row>
    <row r="93" spans="1:12" ht="15" customHeight="1" x14ac:dyDescent="0.3">
      <c r="A93" s="41"/>
      <c r="B93" s="14">
        <v>46216</v>
      </c>
      <c r="C93" s="48">
        <v>88</v>
      </c>
      <c r="D93" s="3" t="s">
        <v>46</v>
      </c>
      <c r="E93" s="3" t="s">
        <v>0</v>
      </c>
      <c r="F93" s="19"/>
      <c r="G93" s="20">
        <v>-10.98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89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90</v>
      </c>
      <c r="D95" s="3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91</v>
      </c>
      <c r="D96" s="81"/>
      <c r="E96" s="82"/>
      <c r="F96" s="19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92</v>
      </c>
      <c r="D97" s="3"/>
      <c r="E97" s="82"/>
      <c r="F97" s="19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93</v>
      </c>
      <c r="D98" s="3"/>
      <c r="E98" s="82"/>
      <c r="F98" s="19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94</v>
      </c>
      <c r="D99" s="3"/>
      <c r="E99" s="82"/>
      <c r="F99" s="16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95</v>
      </c>
      <c r="D100" s="3"/>
      <c r="E100" s="82"/>
      <c r="F100" s="16"/>
      <c r="G100" s="20"/>
      <c r="H100" s="20"/>
      <c r="I100" s="20"/>
      <c r="J100" s="4"/>
      <c r="K100" s="2"/>
      <c r="L100" s="2"/>
    </row>
    <row r="101" spans="1:246" ht="15" customHeight="1" x14ac:dyDescent="0.3">
      <c r="A101" s="41"/>
      <c r="B101" s="14"/>
      <c r="C101" s="48">
        <v>96</v>
      </c>
      <c r="D101" s="3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97</v>
      </c>
      <c r="D102" s="3"/>
      <c r="E102" s="82"/>
      <c r="F102" s="19"/>
      <c r="G102" s="20"/>
      <c r="H102" s="20"/>
      <c r="I102" s="20"/>
      <c r="J102" s="4"/>
      <c r="K102" s="2"/>
      <c r="L102" s="2"/>
    </row>
    <row r="103" spans="1:246" ht="15" customHeight="1" x14ac:dyDescent="0.3">
      <c r="A103" s="41"/>
      <c r="B103" s="14"/>
      <c r="C103" s="48">
        <v>98</v>
      </c>
      <c r="D103" s="3"/>
      <c r="E103" s="82"/>
      <c r="F103" s="19"/>
      <c r="G103" s="20"/>
      <c r="H103" s="20"/>
      <c r="I103" s="20"/>
      <c r="J103" s="4"/>
      <c r="K103" s="2"/>
      <c r="L103" s="2"/>
      <c r="IK103"/>
      <c r="IL103"/>
    </row>
    <row r="104" spans="1:246" ht="15" customHeight="1" x14ac:dyDescent="0.3">
      <c r="A104" s="41"/>
      <c r="B104" s="14"/>
      <c r="C104" s="48">
        <v>99</v>
      </c>
      <c r="D104" s="81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100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101</v>
      </c>
      <c r="D106" s="3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102</v>
      </c>
      <c r="D107" s="81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103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104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105</v>
      </c>
      <c r="D110" s="3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106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107</v>
      </c>
      <c r="D112" s="3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108</v>
      </c>
      <c r="D113" s="81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109</v>
      </c>
      <c r="D114" s="3"/>
      <c r="E114" s="82"/>
      <c r="F114" s="19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110</v>
      </c>
      <c r="D115" s="3"/>
      <c r="E115" s="82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111</v>
      </c>
      <c r="D116" s="3"/>
      <c r="E116" s="82"/>
      <c r="F116" s="19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112</v>
      </c>
      <c r="D117" s="3"/>
      <c r="E117" s="82"/>
      <c r="F117" s="16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113</v>
      </c>
      <c r="D118" s="3"/>
      <c r="E118" s="21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114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115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116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117</v>
      </c>
      <c r="D122" s="3"/>
      <c r="E122" s="8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118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119</v>
      </c>
      <c r="D124" s="3"/>
      <c r="E124" s="8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120</v>
      </c>
      <c r="D125" s="3"/>
      <c r="E125" s="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121</v>
      </c>
      <c r="D126" s="3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122</v>
      </c>
      <c r="D127" s="81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123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124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125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126</v>
      </c>
      <c r="D131" s="3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127</v>
      </c>
      <c r="D132" s="81"/>
      <c r="E132" s="8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128</v>
      </c>
      <c r="D133" s="37"/>
      <c r="E133" s="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129</v>
      </c>
      <c r="D134" s="3"/>
      <c r="E134" s="82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130</v>
      </c>
      <c r="D135" s="3"/>
      <c r="E135" s="21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131</v>
      </c>
      <c r="D136" s="3"/>
      <c r="E136" s="82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132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133</v>
      </c>
      <c r="D138" s="3"/>
      <c r="E138" s="21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134</v>
      </c>
      <c r="D139" s="3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135</v>
      </c>
      <c r="D140" s="3"/>
      <c r="E140" s="21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136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137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138</v>
      </c>
      <c r="D143" s="81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139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140</v>
      </c>
      <c r="D145" s="3"/>
      <c r="E145" s="8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141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142</v>
      </c>
      <c r="D148" s="3"/>
      <c r="E148" s="82"/>
      <c r="F148" s="19"/>
      <c r="G148" s="20"/>
      <c r="H148" s="20"/>
      <c r="I148" s="20"/>
      <c r="J148" s="4"/>
      <c r="K148" s="2"/>
      <c r="L148" s="2"/>
    </row>
    <row r="149" spans="1:12" ht="15" customHeight="1" x14ac:dyDescent="0.3">
      <c r="A149" s="41"/>
      <c r="B149" s="14"/>
      <c r="C149" s="48">
        <v>143</v>
      </c>
      <c r="D149" s="3"/>
      <c r="E149" s="21"/>
      <c r="F149" s="19"/>
      <c r="G149" s="20"/>
      <c r="H149" s="20"/>
      <c r="I149" s="20"/>
      <c r="J149" s="4"/>
      <c r="K149" s="2"/>
    </row>
    <row r="150" spans="1:12" ht="15" customHeight="1" x14ac:dyDescent="0.3">
      <c r="A150" s="41"/>
      <c r="B150" s="14"/>
      <c r="C150" s="48">
        <v>144</v>
      </c>
      <c r="D150" s="37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145</v>
      </c>
      <c r="D151" s="81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146</v>
      </c>
      <c r="D152" s="3"/>
      <c r="E152" s="82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147</v>
      </c>
      <c r="D153" s="3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148</v>
      </c>
      <c r="D155" s="37"/>
      <c r="E155" s="21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</v>
      </c>
      <c r="D156" s="3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149.69999999999999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151</v>
      </c>
      <c r="D158" s="81"/>
      <c r="E158" s="82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152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154.03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155.06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156.09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157.12</v>
      </c>
      <c r="D164" s="37"/>
      <c r="E164" s="21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158.15</v>
      </c>
      <c r="D165" s="37"/>
      <c r="E165" s="18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159.18</v>
      </c>
      <c r="D166" s="37"/>
      <c r="E166" s="21"/>
      <c r="F166" s="19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160.21</v>
      </c>
      <c r="D167" s="37"/>
      <c r="E167" s="21"/>
      <c r="F167" s="20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161.24</v>
      </c>
      <c r="D168" s="37"/>
      <c r="E168" s="21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162.27000000000001</v>
      </c>
      <c r="D169" s="3"/>
      <c r="E169" s="82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163.30000000000001</v>
      </c>
      <c r="D170" s="37"/>
      <c r="E170" s="21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164.33</v>
      </c>
      <c r="D171" s="37"/>
      <c r="E171" s="18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165.36</v>
      </c>
      <c r="D172" s="37"/>
      <c r="E172" s="21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166.39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167.42</v>
      </c>
      <c r="D174" s="15"/>
      <c r="E174" s="18"/>
      <c r="F174" s="19"/>
      <c r="G174" s="20"/>
      <c r="H174" s="20"/>
      <c r="I174" s="20"/>
      <c r="J174" s="4"/>
      <c r="K174" s="2"/>
      <c r="L174" s="2"/>
    </row>
    <row r="175" spans="1:12" ht="15" customHeight="1" x14ac:dyDescent="0.3">
      <c r="A175" s="41"/>
      <c r="B175" s="14"/>
      <c r="C175" s="48">
        <v>168.45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169.48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>
        <v>170.51</v>
      </c>
      <c r="D177" s="15"/>
      <c r="E177" s="18"/>
      <c r="F177" s="19"/>
      <c r="G177" s="20"/>
      <c r="H177" s="20"/>
      <c r="I177" s="20"/>
      <c r="J177" s="44"/>
      <c r="K177" s="2"/>
      <c r="L177" s="2"/>
    </row>
    <row r="178" spans="1:246" ht="15" customHeight="1" x14ac:dyDescent="0.3">
      <c r="A178" s="41"/>
      <c r="B178" s="14"/>
      <c r="C178" s="48"/>
      <c r="D178" s="37"/>
      <c r="E178" s="18"/>
      <c r="F178" s="19"/>
      <c r="G178" s="20"/>
      <c r="H178" s="20"/>
      <c r="I178" s="20"/>
      <c r="J178" s="44"/>
      <c r="K178" s="2"/>
      <c r="L178" s="2"/>
      <c r="IL178"/>
    </row>
    <row r="179" spans="1:246" ht="15" customHeight="1" x14ac:dyDescent="0.3">
      <c r="A179" s="42"/>
      <c r="B179" s="28" t="s">
        <v>15</v>
      </c>
      <c r="C179" s="49"/>
      <c r="D179" s="29"/>
      <c r="E179" s="30"/>
      <c r="F179" s="31">
        <f>SUM(F3:F178)</f>
        <v>0</v>
      </c>
      <c r="G179" s="32">
        <f>SUM(G3:G178)</f>
        <v>-4750.899999999996</v>
      </c>
      <c r="H179" s="32">
        <f>SUM(H3:H178)</f>
        <v>0</v>
      </c>
      <c r="I179" s="32">
        <f>SUM(I3:I178)</f>
        <v>-3586.35</v>
      </c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K242" s="2"/>
    </row>
    <row r="243" spans="1:12" ht="15" customHeight="1" x14ac:dyDescent="0.3">
      <c r="A243" s="42"/>
      <c r="B243" s="17"/>
      <c r="C243" s="17"/>
      <c r="D243" s="17"/>
      <c r="E243" s="17"/>
      <c r="F243" s="17"/>
      <c r="G243" s="17"/>
      <c r="H243" s="17"/>
      <c r="I243" s="17"/>
      <c r="J243" s="2"/>
    </row>
    <row r="244" spans="1:12" ht="15" customHeight="1" x14ac:dyDescent="0.3">
      <c r="B244" s="17"/>
      <c r="C244" s="17"/>
      <c r="I244" s="17"/>
    </row>
    <row r="245" spans="1:12" ht="15" customHeight="1" x14ac:dyDescent="0.3">
      <c r="B245" s="17"/>
      <c r="I245" s="17"/>
    </row>
  </sheetData>
  <autoFilter ref="B2:J174" xr:uid="{00000000-0009-0000-0000-000001000000}"/>
  <mergeCells count="1">
    <mergeCell ref="B1:I1"/>
  </mergeCells>
  <conditionalFormatting sqref="A3:A243 E33 E134:E145">
    <cfRule type="cellIs" dxfId="29" priority="496" stopIfTrue="1" operator="lessThan">
      <formula>0</formula>
    </cfRule>
  </conditionalFormatting>
  <conditionalFormatting sqref="B130:B143">
    <cfRule type="cellIs" dxfId="28" priority="479" stopIfTrue="1" operator="lessThan">
      <formula>0</formula>
    </cfRule>
  </conditionalFormatting>
  <conditionalFormatting sqref="B157:B245">
    <cfRule type="cellIs" dxfId="27" priority="36" stopIfTrue="1" operator="lessThan">
      <formula>0</formula>
    </cfRule>
  </conditionalFormatting>
  <conditionalFormatting sqref="C156 C158 C160 C162 C164 C166 C168 C174 C176">
    <cfRule type="cellIs" dxfId="26" priority="37" stopIfTrue="1" operator="lessThan">
      <formula>0</formula>
    </cfRule>
  </conditionalFormatting>
  <conditionalFormatting sqref="C178:C244 J180 I180:I245">
    <cfRule type="cellIs" dxfId="25" priority="726" stopIfTrue="1" operator="lessThan">
      <formula>0</formula>
    </cfRule>
  </conditionalFormatting>
  <conditionalFormatting sqref="D133">
    <cfRule type="cellIs" dxfId="24" priority="494" stopIfTrue="1" operator="lessThan">
      <formula>0</formula>
    </cfRule>
  </conditionalFormatting>
  <conditionalFormatting sqref="D150">
    <cfRule type="cellIs" dxfId="23" priority="81" stopIfTrue="1" operator="lessThan">
      <formula>0</formula>
    </cfRule>
  </conditionalFormatting>
  <conditionalFormatting sqref="D154:D155">
    <cfRule type="cellIs" dxfId="22" priority="465" stopIfTrue="1" operator="lessThan">
      <formula>0</formula>
    </cfRule>
  </conditionalFormatting>
  <conditionalFormatting sqref="D159:D164">
    <cfRule type="cellIs" dxfId="21" priority="22" stopIfTrue="1" operator="lessThan">
      <formula>0</formula>
    </cfRule>
  </conditionalFormatting>
  <conditionalFormatting sqref="D165:E166 D167:D168 C170:D170 D171:E171 C172:D172">
    <cfRule type="cellIs" dxfId="20" priority="29" stopIfTrue="1" operator="lessThan">
      <formula>0</formula>
    </cfRule>
  </conditionalFormatting>
  <conditionalFormatting sqref="D178:E180">
    <cfRule type="cellIs" dxfId="19" priority="31" stopIfTrue="1" operator="lessThan">
      <formula>0</formula>
    </cfRule>
  </conditionalFormatting>
  <conditionalFormatting sqref="D180:H243">
    <cfRule type="cellIs" dxfId="18" priority="678" stopIfTrue="1" operator="lessThan">
      <formula>0</formula>
    </cfRule>
  </conditionalFormatting>
  <conditionalFormatting sqref="E3:E4 E7:E8 E11 E13 E15 E23 E126:E132 E147:E164">
    <cfRule type="cellIs" dxfId="17" priority="17" stopIfTrue="1" operator="lessThan">
      <formula>0</formula>
    </cfRule>
  </conditionalFormatting>
  <conditionalFormatting sqref="E19:E20">
    <cfRule type="cellIs" dxfId="16" priority="13" stopIfTrue="1" operator="lessThan">
      <formula>0</formula>
    </cfRule>
  </conditionalFormatting>
  <conditionalFormatting sqref="E35:E37">
    <cfRule type="cellIs" dxfId="15" priority="14" stopIfTrue="1" operator="lessThan">
      <formula>0</formula>
    </cfRule>
  </conditionalFormatting>
  <conditionalFormatting sqref="E42">
    <cfRule type="cellIs" dxfId="14" priority="12" stopIfTrue="1" operator="lessThan">
      <formula>0</formula>
    </cfRule>
  </conditionalFormatting>
  <conditionalFormatting sqref="E58:E59">
    <cfRule type="cellIs" dxfId="13" priority="11" stopIfTrue="1" operator="lessThan">
      <formula>0</formula>
    </cfRule>
  </conditionalFormatting>
  <conditionalFormatting sqref="E61">
    <cfRule type="cellIs" dxfId="12" priority="10" stopIfTrue="1" operator="lessThan">
      <formula>0</formula>
    </cfRule>
  </conditionalFormatting>
  <conditionalFormatting sqref="E64">
    <cfRule type="cellIs" dxfId="11" priority="9" stopIfTrue="1" operator="lessThan">
      <formula>0</formula>
    </cfRule>
  </conditionalFormatting>
  <conditionalFormatting sqref="E66:E68">
    <cfRule type="cellIs" dxfId="10" priority="8" stopIfTrue="1" operator="lessThan">
      <formula>0</formula>
    </cfRule>
  </conditionalFormatting>
  <conditionalFormatting sqref="E72">
    <cfRule type="cellIs" dxfId="9" priority="7" stopIfTrue="1" operator="lessThan">
      <formula>0</formula>
    </cfRule>
  </conditionalFormatting>
  <conditionalFormatting sqref="E76:E81 E87:E89 E94:E124">
    <cfRule type="cellIs" dxfId="8" priority="3" stopIfTrue="1" operator="lessThan">
      <formula>0</formula>
    </cfRule>
  </conditionalFormatting>
  <conditionalFormatting sqref="E85">
    <cfRule type="cellIs" dxfId="7" priority="2" stopIfTrue="1" operator="lessThan">
      <formula>0</formula>
    </cfRule>
  </conditionalFormatting>
  <conditionalFormatting sqref="E167:E170">
    <cfRule type="cellIs" dxfId="6" priority="19" stopIfTrue="1" operator="lessThan">
      <formula>0</formula>
    </cfRule>
  </conditionalFormatting>
  <conditionalFormatting sqref="E172:E177">
    <cfRule type="cellIs" dxfId="5" priority="18" stopIfTrue="1" operator="lessThan">
      <formula>0</formula>
    </cfRule>
  </conditionalFormatting>
  <conditionalFormatting sqref="F68:F69">
    <cfRule type="cellIs" dxfId="4" priority="16" stopIfTrue="1" operator="lessThan">
      <formula>0</formula>
    </cfRule>
  </conditionalFormatting>
  <conditionalFormatting sqref="F77">
    <cfRule type="cellIs" dxfId="3" priority="5" stopIfTrue="1" operator="lessThan">
      <formula>0</formula>
    </cfRule>
  </conditionalFormatting>
  <conditionalFormatting sqref="F99:F100">
    <cfRule type="cellIs" dxfId="2" priority="139" stopIfTrue="1" operator="lessThan">
      <formula>0</formula>
    </cfRule>
  </conditionalFormatting>
  <conditionalFormatting sqref="F117">
    <cfRule type="cellIs" dxfId="1" priority="23" stopIfTrue="1" operator="lessThan">
      <formula>0</formula>
    </cfRule>
  </conditionalFormatting>
  <conditionalFormatting sqref="F87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7:E178 E126:E132 E134:E145 E58:E59 E72 E61 E64 E66:E68 E76:E81 E85 E87:E89 E94:E124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2026-07-12T10:50:56Z</dcterms:modified>
</cp:coreProperties>
</file>