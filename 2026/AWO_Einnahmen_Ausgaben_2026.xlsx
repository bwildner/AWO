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1FAFDCBB-0694-465D-AD5D-69B5BE080E5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Einnahmen!$A$2:$H$107</definedName>
    <definedName name="_xlnm.Print_Area" localSheetId="1">Ausgaben!$A$1:$I$177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1" i="4" l="1"/>
  <c r="G111" i="4"/>
  <c r="E111" i="4"/>
  <c r="F111" i="4"/>
  <c r="F178" i="1"/>
  <c r="H178" i="1"/>
  <c r="I178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<sst xmlns="http://schemas.openxmlformats.org/spreadsheetml/2006/main" count="336" uniqueCount="114">
  <si>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</si>
  <si>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</si>
  <si>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</si>
  <si>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</si>
  <si>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</si>
  <si>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</si>
  <si>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</si>
  <si>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</si>
  <si>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</si>
  <si>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</si>
  <si>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</si>
  <si>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</si>
  <si>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</si>
  <si>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</si>
  <si>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</si>
  <si>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</si>
  <si>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</si>
  <si>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</si>
  <si>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</si>
  <si>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</si>
  <si>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</si>
  <si>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</si>
  <si>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</si>
  <si>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</si>
  <si>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</si>
  <si>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</si>
  <si>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</si>
  <si>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</si>
  <si>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</si>
  <si>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</si>
  <si>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</si>
  <si>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</si>
  <si>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</si>
  <si>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</si>
  <si>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</si>
  <si>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</si>
  <si>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</si>
  <si>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</si>
  <si>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</si>
  <si>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</si>
  <si>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</si>
  <si>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</si>
  <si>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</si>
  <si>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</si>
  <si>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</si>
  <si>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</si>
  <si>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</si>
  <si>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</si>
  <si>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</si>
  <si>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</si>
  <si>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</si>
  <si>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</si>
  <si>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</si>
  <si>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</si>
  <si>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</si>
  <si>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</si>
  <si>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</si>
  <si>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</si>
  <si>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</si>
  <si>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</si>
  <si>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</si>
  <si>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</si>
  <si>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</si>
  <si>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</si>
  <si>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</si>
  <si>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</si>
  <si>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</si>
  <si>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</si>
  <si>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</si>
  <si>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</si>
  <si>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</si>
  <si>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</si>
  <si>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</si>
  <si>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</si>
  <si>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</si>
  <si>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</si>
  <si>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</si>
  <si>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</si>
  <si>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</si>
  <si>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</si>
  <si>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</si>
  <si>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</si>
  <si>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</si>
  <si>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</si>
  <si>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</si>
  <si>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</si>
  <si>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</si>
  <si>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</si>
  <si>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</si>
  <si>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</si>
  <si>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</si>
  <si>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</si>
  <si>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</si>
  <si>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</si>
  <si>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</si>
  <si>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</si>
  <si>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</si>
  <si>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</si>
  <si>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</si>
  <si>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</si>
  <si>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</si>
  <si>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</si>
  <si>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</si>
  <si>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</si>
  <si>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</si>
  <si>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</si>
  <si>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</si>
  <si>
    <t>2.Spende Radservice2026</t>
  </si>
  <si>
    <t>SPD Miete</t>
  </si>
  <si>
    <t>Tinte 83,39+  tzgl 5,99</t>
  </si>
  <si>
    <t>Wasser</t>
  </si>
  <si>
    <t>SPD Getränke 6.5.</t>
  </si>
  <si>
    <t>SPD Miete 6.5.</t>
  </si>
  <si>
    <t>Spende Muttertagsbasteln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</si>
</sst>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8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109" activePane="bottomLeft" state="frozen"/>
      <selection pane="bottomLeft" activeCell="F41" sqref="F41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4" t="s">
        <v>1</v>
      </c>
      <c r="B1" s="85"/>
      <c r="C1" s="85"/>
      <c r="D1" s="85"/>
      <c r="E1" s="85"/>
      <c r="F1" s="85"/>
      <c r="G1" s="85"/>
      <c r="H1" s="85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>
        <v>46146</v>
      </c>
      <c r="B34" s="15">
        <v>30</v>
      </c>
      <c r="C34" s="15" t="s">
        <v>46</v>
      </c>
      <c r="D34" s="3" t="s">
        <v>0</v>
      </c>
      <c r="E34" s="16"/>
      <c r="F34" s="17"/>
      <c r="G34" s="17"/>
      <c r="H34" s="17">
        <v>100</v>
      </c>
      <c r="I34" s="2"/>
      <c r="J34" s="2"/>
    </row>
    <row r="35" spans="1:10" s="1" customFormat="1" ht="15" customHeight="1" x14ac:dyDescent="0.3">
      <c r="A35" s="14">
        <v>46146</v>
      </c>
      <c r="B35" s="15">
        <v>31</v>
      </c>
      <c r="C35" s="15" t="s">
        <v>107</v>
      </c>
      <c r="D35" s="3" t="s">
        <v>0</v>
      </c>
      <c r="E35" s="16"/>
      <c r="F35" s="17"/>
      <c r="G35" s="17"/>
      <c r="H35" s="17">
        <v>10</v>
      </c>
      <c r="I35" s="2"/>
      <c r="J35" s="2"/>
    </row>
    <row r="36" spans="1:10" s="1" customFormat="1" ht="15" customHeight="1" x14ac:dyDescent="0.3">
      <c r="A36" s="14">
        <v>46146</v>
      </c>
      <c r="B36" s="15">
        <v>32</v>
      </c>
      <c r="C36" s="15" t="s">
        <v>81</v>
      </c>
      <c r="D36" s="3" t="s">
        <v>0</v>
      </c>
      <c r="E36" s="16"/>
      <c r="F36" s="17"/>
      <c r="G36" s="17"/>
      <c r="H36" s="17">
        <v>42.5</v>
      </c>
      <c r="I36" s="2"/>
      <c r="J36" s="2"/>
    </row>
    <row r="37" spans="1:10" s="1" customFormat="1" ht="15" customHeight="1" x14ac:dyDescent="0.3">
      <c r="A37" s="14">
        <v>46146</v>
      </c>
      <c r="B37" s="15">
        <v>33</v>
      </c>
      <c r="C37" s="15" t="s">
        <v>108</v>
      </c>
      <c r="D37" s="3" t="s">
        <v>0</v>
      </c>
      <c r="E37" s="16"/>
      <c r="F37" s="17"/>
      <c r="G37" s="17"/>
      <c r="H37" s="17">
        <v>20</v>
      </c>
      <c r="I37" s="2"/>
      <c r="J37" s="2"/>
    </row>
    <row r="38" spans="1:10" s="1" customFormat="1" ht="15" customHeight="1" x14ac:dyDescent="0.3">
      <c r="A38" s="14">
        <v>46150</v>
      </c>
      <c r="B38" s="15">
        <v>34</v>
      </c>
      <c r="C38" s="15" t="s">
        <v>111</v>
      </c>
      <c r="D38" s="3" t="s">
        <v>0</v>
      </c>
      <c r="E38" s="19"/>
      <c r="G38" s="17"/>
      <c r="H38" s="20">
        <v>28</v>
      </c>
      <c r="I38" s="2"/>
      <c r="J38" s="2"/>
    </row>
    <row r="39" spans="1:10" s="1" customFormat="1" ht="15" customHeight="1" x14ac:dyDescent="0.3">
      <c r="A39" s="14">
        <v>46153</v>
      </c>
      <c r="B39" s="48">
        <v>35</v>
      </c>
      <c r="C39" s="15" t="s">
        <v>112</v>
      </c>
      <c r="D39" s="3" t="s">
        <v>0</v>
      </c>
      <c r="E39" s="16"/>
      <c r="F39" s="17"/>
      <c r="G39" s="17"/>
      <c r="H39" s="17">
        <v>20</v>
      </c>
      <c r="I39" s="2"/>
      <c r="J39" s="2"/>
    </row>
    <row r="40" spans="1:10" s="1" customFormat="1" ht="15" customHeight="1" x14ac:dyDescent="0.3">
      <c r="A40" s="14">
        <v>46160</v>
      </c>
      <c r="B40" s="15">
        <v>36</v>
      </c>
      <c r="C40" s="37" t="s">
        <v>113</v>
      </c>
      <c r="D40" s="3" t="s">
        <v>0</v>
      </c>
      <c r="E40" s="16"/>
      <c r="F40" s="17">
        <v>30</v>
      </c>
      <c r="G40" s="17"/>
      <c r="H40" s="17"/>
      <c r="I40" s="2"/>
      <c r="J40" s="2"/>
    </row>
    <row r="41" spans="1:10" s="1" customFormat="1" ht="15" customHeight="1" x14ac:dyDescent="0.3">
      <c r="A41" s="14"/>
      <c r="B41" s="15">
        <v>37</v>
      </c>
      <c r="C41" s="37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15">
        <v>38</v>
      </c>
      <c r="C42" s="15"/>
      <c r="D42" s="18"/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/>
      <c r="B43" s="48">
        <v>39</v>
      </c>
      <c r="C43" s="37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40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41</v>
      </c>
      <c r="C45" s="3"/>
      <c r="D45" s="18"/>
      <c r="E45" s="19"/>
      <c r="F45" s="20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42</v>
      </c>
      <c r="C46" s="3"/>
      <c r="D46" s="18"/>
      <c r="E46" s="16"/>
      <c r="F46" s="17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43</v>
      </c>
      <c r="C47" s="3"/>
      <c r="D47" s="18"/>
      <c r="E47" s="19"/>
      <c r="F47" s="20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44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B49" s="15">
        <v>45</v>
      </c>
      <c r="C49" s="3"/>
      <c r="D49" s="18"/>
      <c r="E49" s="16"/>
      <c r="F49" s="17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46</v>
      </c>
      <c r="C50" s="3"/>
      <c r="D50" s="18"/>
      <c r="E50" s="19"/>
      <c r="F50" s="20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47</v>
      </c>
      <c r="C51" s="3"/>
      <c r="D51" s="18"/>
      <c r="E51" s="16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48</v>
      </c>
      <c r="C52" s="3"/>
      <c r="D52" s="18"/>
      <c r="E52" s="19"/>
      <c r="F52" s="17"/>
      <c r="G52" s="17"/>
      <c r="H52" s="17"/>
      <c r="I52" s="2"/>
      <c r="J52" s="2"/>
    </row>
    <row r="53" spans="1:10" s="1" customFormat="1" ht="15" customHeight="1" x14ac:dyDescent="0.3">
      <c r="A53" s="14"/>
      <c r="B53" s="15">
        <v>49</v>
      </c>
      <c r="C53" s="3"/>
      <c r="D53" s="18"/>
      <c r="E53" s="19"/>
      <c r="F53" s="20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5946.3800000000238</v>
      </c>
      <c r="G111" s="26">
        <f>SUM(G3:G110)</f>
        <v>2000.5</v>
      </c>
      <c r="H111" s="26">
        <f>SUM(H3:H110)</f>
        <v>6502.11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E111+Ausgaben!F178</f>
        <v>0</v>
      </c>
      <c r="F113" s="26">
        <f>F111+Ausgaben!G178</f>
        <v>2015.6300000000251</v>
      </c>
      <c r="G113" s="26">
        <f>G111+Ausgaben!H178</f>
        <v>2000.5</v>
      </c>
      <c r="H113" s="26">
        <f>H111+Ausgaben!I178</f>
        <v>3295.7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7311.8300000000254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C99:D100">
    <cfRule type="cellIs" dxfId="51" priority="62" stopIfTrue="1" operator="lessThan">
      <formula>0</formula>
    </cfRule>
  </conditionalFormatting>
  <conditionalFormatting sqref="D6 D8:D9 D11:D14 G24:H24 E54:F58 D61:G68 D69:D77 E73:G77 A94:A97 H34:H110">
    <cfRule type="cellIs" dxfId="50" priority="67" stopIfTrue="1" operator="lessThan">
      <formula>0</formula>
    </cfRule>
  </conditionalFormatting>
  <conditionalFormatting sqref="D20:D22 D31 D41:D61">
    <cfRule type="cellIs" dxfId="49" priority="5" stopIfTrue="1" operator="lessThan">
      <formula>0</formula>
    </cfRule>
  </conditionalFormatting>
  <conditionalFormatting sqref="D83:D89">
    <cfRule type="cellIs" dxfId="48" priority="26" stopIfTrue="1" operator="lessThan">
      <formula>0</formula>
    </cfRule>
  </conditionalFormatting>
  <conditionalFormatting sqref="D82:F82">
    <cfRule type="cellIs" dxfId="47" priority="27" stopIfTrue="1" operator="lessThan">
      <formula>0</formula>
    </cfRule>
  </conditionalFormatting>
  <conditionalFormatting sqref="D78:G81">
    <cfRule type="cellIs" dxfId="46" priority="28" stopIfTrue="1" operator="lessThan">
      <formula>0</formula>
    </cfRule>
  </conditionalFormatting>
  <conditionalFormatting sqref="D101:G110">
    <cfRule type="cellIs" dxfId="45" priority="60" stopIfTrue="1" operator="lessThan">
      <formula>0</formula>
    </cfRule>
  </conditionalFormatting>
  <conditionalFormatting sqref="E24">
    <cfRule type="cellIs" dxfId="44" priority="87" stopIfTrue="1" operator="lessThan">
      <formula>0</formula>
    </cfRule>
  </conditionalFormatting>
  <conditionalFormatting sqref="E41:F42">
    <cfRule type="cellIs" dxfId="43" priority="25" stopIfTrue="1" operator="lessThan">
      <formula>0</formula>
    </cfRule>
  </conditionalFormatting>
  <conditionalFormatting sqref="E46:F46">
    <cfRule type="cellIs" dxfId="42" priority="47" stopIfTrue="1" operator="lessThan">
      <formula>0</formula>
    </cfRule>
  </conditionalFormatting>
  <conditionalFormatting sqref="G41:G47 E34:G37 G38 E39:G40">
    <cfRule type="cellIs" dxfId="41" priority="49" stopIfTrue="1" operator="lessThan">
      <formula>0</formula>
    </cfRule>
  </conditionalFormatting>
  <conditionalFormatting sqref="E48:G49 G50:G51 E51:F51 F52:G52 G53:G58">
    <cfRule type="cellIs" dxfId="40" priority="107" stopIfTrue="1" operator="lessThan">
      <formula>0</formula>
    </cfRule>
  </conditionalFormatting>
  <conditionalFormatting sqref="E69:G71 G82:G83">
    <cfRule type="cellIs" dxfId="39" priority="81" stopIfTrue="1" operator="lessThan">
      <formula>0</formula>
    </cfRule>
  </conditionalFormatting>
  <conditionalFormatting sqref="E84:G89 D90:G98">
    <cfRule type="cellIs" dxfId="38" priority="63" stopIfTrue="1" operator="lessThan">
      <formula>0</formula>
    </cfRule>
  </conditionalFormatting>
  <conditionalFormatting sqref="E3:H3">
    <cfRule type="cellIs" dxfId="37" priority="12" stopIfTrue="1" operator="lessThan">
      <formula>0</formula>
    </cfRule>
  </conditionalFormatting>
  <conditionalFormatting sqref="E32:H32">
    <cfRule type="cellIs" dxfId="36" priority="1" stopIfTrue="1" operator="lessThan">
      <formula>0</formula>
    </cfRule>
  </conditionalFormatting>
  <conditionalFormatting sqref="F25:G25">
    <cfRule type="cellIs" dxfId="35" priority="282" stopIfTrue="1" operator="lessThan">
      <formula>0</formula>
    </cfRule>
  </conditionalFormatting>
  <conditionalFormatting sqref="F59:G60">
    <cfRule type="cellIs" dxfId="34" priority="24" stopIfTrue="1" operator="lessThan">
      <formula>0</formula>
    </cfRule>
  </conditionalFormatting>
  <conditionalFormatting sqref="F72:G72">
    <cfRule type="cellIs" dxfId="33" priority="79" stopIfTrue="1" operator="lessThan">
      <formula>0</formula>
    </cfRule>
  </conditionalFormatting>
  <conditionalFormatting sqref="G4:G13 A93:C93">
    <cfRule type="cellIs" dxfId="32" priority="195" stopIfTrue="1" operator="lessThan">
      <formula>0</formula>
    </cfRule>
  </conditionalFormatting>
  <conditionalFormatting sqref="G26:G27">
    <cfRule type="cellIs" dxfId="31" priority="279" stopIfTrue="1" operator="lessThan">
      <formula>0</formula>
    </cfRule>
  </conditionalFormatting>
  <conditionalFormatting sqref="G99 E100:G100 D110:H110 E111:H175 D115">
    <cfRule type="cellIs" dxfId="30" priority="361" stopIfTrue="1" operator="lessThan">
      <formula>0</formula>
    </cfRule>
  </conditionalFormatting>
  <conditionalFormatting sqref="G11:H22">
    <cfRule type="cellIs" dxfId="29" priority="4" stopIfTrue="1" operator="lessThan">
      <formula>0</formula>
    </cfRule>
  </conditionalFormatting>
  <conditionalFormatting sqref="G28:H31 G33:H33">
    <cfRule type="cellIs" dxfId="28" priority="56" stopIfTrue="1" operator="lessThan">
      <formula>0</formula>
    </cfRule>
  </conditionalFormatting>
  <conditionalFormatting sqref="H4:H10 B83">
    <cfRule type="cellIs" dxfId="27" priority="209" stopIfTrue="1" operator="lessThan">
      <formula>0</formula>
    </cfRule>
  </conditionalFormatting>
  <conditionalFormatting sqref="H25:H27">
    <cfRule type="cellIs" dxfId="26" priority="3" stopIfTrue="1" operator="lessThan">
      <formula>0</formula>
    </cfRule>
  </conditionalFormatting>
  <dataValidations count="1">
    <dataValidation type="list" allowBlank="1" showInputMessage="1" showErrorMessage="1" sqref="D3 D6 D8:D9 D11:D14 D17:D22 D24:D28 D3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54" activePane="bottomLeft" state="frozen"/>
      <selection pane="bottomLeft" activeCell="D75" sqref="D75:E75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6" t="s">
        <v>2</v>
      </c>
      <c r="C1" s="85"/>
      <c r="D1" s="85"/>
      <c r="E1" s="87"/>
      <c r="F1" s="85"/>
      <c r="G1" s="85"/>
      <c r="H1" s="85"/>
      <c r="I1" s="85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>
        <v>46147</v>
      </c>
      <c r="C66" s="48">
        <v>62</v>
      </c>
      <c r="D66" s="3" t="s">
        <v>51</v>
      </c>
      <c r="E66" s="82" t="s">
        <v>21</v>
      </c>
      <c r="F66" s="19"/>
      <c r="G66" s="20">
        <v>-47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46147</v>
      </c>
      <c r="C67" s="48">
        <v>63</v>
      </c>
      <c r="D67" s="3" t="s">
        <v>51</v>
      </c>
      <c r="E67" s="82" t="s">
        <v>21</v>
      </c>
      <c r="F67" s="19"/>
      <c r="G67" s="20">
        <v>-89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46147</v>
      </c>
      <c r="C68" s="48">
        <v>64</v>
      </c>
      <c r="D68" s="3" t="s">
        <v>20</v>
      </c>
      <c r="E68" s="82" t="s">
        <v>21</v>
      </c>
      <c r="F68" s="16"/>
      <c r="G68" s="20">
        <v>-12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46148</v>
      </c>
      <c r="C69" s="48">
        <v>65</v>
      </c>
      <c r="D69" s="3" t="s">
        <v>109</v>
      </c>
      <c r="E69" s="2" t="s">
        <v>14</v>
      </c>
      <c r="F69" s="16"/>
      <c r="G69" s="20">
        <v>-83.39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46148</v>
      </c>
      <c r="C70" s="48">
        <v>66</v>
      </c>
      <c r="D70" s="3" t="s">
        <v>109</v>
      </c>
      <c r="E70" s="3" t="s">
        <v>0</v>
      </c>
      <c r="F70" s="19"/>
      <c r="G70" s="19">
        <v>-5.99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46150</v>
      </c>
      <c r="C71" s="48">
        <v>67</v>
      </c>
      <c r="D71" s="81" t="s">
        <v>46</v>
      </c>
      <c r="E71" s="3" t="s">
        <v>0</v>
      </c>
      <c r="F71" s="19"/>
      <c r="G71" s="20">
        <v>-7.64</v>
      </c>
      <c r="H71" s="20"/>
      <c r="I71" s="20"/>
      <c r="J71" s="4"/>
      <c r="K71" s="2"/>
      <c r="L71" s="2"/>
    </row>
    <row r="72" spans="1:12" ht="15" customHeight="1" x14ac:dyDescent="0.3">
      <c r="A72" s="41"/>
      <c r="B72" s="14">
        <v>46157</v>
      </c>
      <c r="C72" s="48">
        <v>68</v>
      </c>
      <c r="D72" s="81" t="s">
        <v>110</v>
      </c>
      <c r="E72" s="82" t="s">
        <v>21</v>
      </c>
      <c r="F72" s="19"/>
      <c r="G72" s="20">
        <v>-17.21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46160</v>
      </c>
      <c r="C73" s="48">
        <v>69</v>
      </c>
      <c r="D73" s="81" t="s">
        <v>83</v>
      </c>
      <c r="E73" s="3" t="s">
        <v>13</v>
      </c>
      <c r="F73" s="19"/>
      <c r="G73" s="20">
        <v>-160.59</v>
      </c>
      <c r="H73" s="19"/>
      <c r="I73" s="20"/>
      <c r="J73" s="4"/>
      <c r="K73" s="2"/>
      <c r="L73" s="2"/>
    </row>
    <row r="74" spans="1:12" ht="15" customHeight="1" x14ac:dyDescent="0.3">
      <c r="A74" s="41"/>
      <c r="B74" s="14">
        <v>46161</v>
      </c>
      <c r="C74" s="48">
        <v>70</v>
      </c>
      <c r="D74" s="3" t="s">
        <v>46</v>
      </c>
      <c r="E74" s="3" t="s">
        <v>0</v>
      </c>
      <c r="F74" s="19"/>
      <c r="G74" s="20">
        <v>-3.4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46161</v>
      </c>
      <c r="C75" s="48">
        <v>71</v>
      </c>
      <c r="D75" s="3" t="s">
        <v>69</v>
      </c>
      <c r="E75" s="3" t="s">
        <v>13</v>
      </c>
      <c r="F75" s="19"/>
      <c r="G75" s="20"/>
      <c r="H75" s="20"/>
      <c r="I75" s="20">
        <v>-10.5</v>
      </c>
      <c r="J75" s="4"/>
      <c r="K75" s="2"/>
      <c r="L75" s="2"/>
    </row>
    <row r="76" spans="1:12" ht="15" customHeight="1" x14ac:dyDescent="0.3">
      <c r="A76" s="41"/>
      <c r="B76" s="14"/>
      <c r="C76" s="48">
        <v>72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73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74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75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76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77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78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79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80</v>
      </c>
      <c r="D84" s="3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81</v>
      </c>
      <c r="D85" s="3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82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83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84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85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86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87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88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89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90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91</v>
      </c>
      <c r="D95" s="81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92</v>
      </c>
      <c r="D96" s="3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93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94</v>
      </c>
      <c r="D98" s="3"/>
      <c r="E98" s="82"/>
      <c r="F98" s="16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95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96</v>
      </c>
      <c r="D100" s="3"/>
      <c r="E100" s="82"/>
      <c r="F100" s="19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97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98</v>
      </c>
      <c r="D102" s="3"/>
      <c r="E102" s="82"/>
      <c r="F102" s="19"/>
      <c r="G102" s="20"/>
      <c r="H102" s="20"/>
      <c r="I102" s="20"/>
      <c r="J102" s="4"/>
      <c r="K102" s="2"/>
      <c r="L102" s="2"/>
      <c r="IK102"/>
      <c r="IL102"/>
    </row>
    <row r="103" spans="1:246" ht="15" customHeight="1" x14ac:dyDescent="0.3">
      <c r="A103" s="41"/>
      <c r="B103" s="14"/>
      <c r="C103" s="48">
        <v>99</v>
      </c>
      <c r="D103" s="81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100</v>
      </c>
      <c r="D104" s="3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101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102</v>
      </c>
      <c r="D106" s="81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103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104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105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106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107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108</v>
      </c>
      <c r="D112" s="81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109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110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111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112</v>
      </c>
      <c r="D116" s="3"/>
      <c r="E116" s="82"/>
      <c r="F116" s="16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113</v>
      </c>
      <c r="D117" s="3"/>
      <c r="E117" s="21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114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115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116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117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118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119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120</v>
      </c>
      <c r="D124" s="3"/>
      <c r="E124" s="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121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122</v>
      </c>
      <c r="D126" s="81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123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124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125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126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127</v>
      </c>
      <c r="D131" s="81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128</v>
      </c>
      <c r="D132" s="37"/>
      <c r="E132" s="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129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130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131</v>
      </c>
      <c r="D135" s="3"/>
      <c r="E135" s="82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132</v>
      </c>
      <c r="D136" s="3"/>
      <c r="E136" s="21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133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134</v>
      </c>
      <c r="D138" s="3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135</v>
      </c>
      <c r="D139" s="3"/>
      <c r="E139" s="21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136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137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138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139</v>
      </c>
      <c r="D143" s="3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140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141</v>
      </c>
      <c r="D145" s="3"/>
      <c r="E145" s="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8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142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143</v>
      </c>
      <c r="D148" s="3"/>
      <c r="E148" s="21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144</v>
      </c>
      <c r="D149" s="37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81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146</v>
      </c>
      <c r="D151" s="3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0</v>
      </c>
      <c r="G178" s="32">
        <f>SUM(G3:G177)</f>
        <v>-3930.7499999999986</v>
      </c>
      <c r="H178" s="32">
        <f>SUM(H3:H177)</f>
        <v>0</v>
      </c>
      <c r="I178" s="32">
        <f>SUM(I3:I177)</f>
        <v>-3206.41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1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</row>
    <row r="242" spans="1:11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</row>
    <row r="243" spans="1:11" ht="15" customHeight="1" x14ac:dyDescent="0.3">
      <c r="B243" s="17"/>
      <c r="C243" s="17"/>
      <c r="I243" s="17"/>
    </row>
    <row r="244" spans="1:11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 E33 E76:E123 E133:E144">
    <cfRule type="cellIs" dxfId="25" priority="490" stopIfTrue="1" operator="lessThan">
      <formula>0</formula>
    </cfRule>
  </conditionalFormatting>
  <conditionalFormatting sqref="B129:B142">
    <cfRule type="cellIs" dxfId="24" priority="473" stopIfTrue="1" operator="lessThan">
      <formula>0</formula>
    </cfRule>
  </conditionalFormatting>
  <conditionalFormatting sqref="B156:B244">
    <cfRule type="cellIs" dxfId="23" priority="30" stopIfTrue="1" operator="lessThan">
      <formula>0</formula>
    </cfRule>
  </conditionalFormatting>
  <conditionalFormatting sqref="C155 C157 C159 C161 C163 C165 C167 C173 C175">
    <cfRule type="cellIs" dxfId="22" priority="31" stopIfTrue="1" operator="lessThan">
      <formula>0</formula>
    </cfRule>
  </conditionalFormatting>
  <conditionalFormatting sqref="C177:C243 J179 I179:I244">
    <cfRule type="cellIs" dxfId="21" priority="720" stopIfTrue="1" operator="lessThan">
      <formula>0</formula>
    </cfRule>
  </conditionalFormatting>
  <conditionalFormatting sqref="D132">
    <cfRule type="cellIs" dxfId="20" priority="488" stopIfTrue="1" operator="lessThan">
      <formula>0</formula>
    </cfRule>
  </conditionalFormatting>
  <conditionalFormatting sqref="D149">
    <cfRule type="cellIs" dxfId="19" priority="75" stopIfTrue="1" operator="lessThan">
      <formula>0</formula>
    </cfRule>
  </conditionalFormatting>
  <conditionalFormatting sqref="D153:D154">
    <cfRule type="cellIs" dxfId="18" priority="459" stopIfTrue="1" operator="lessThan">
      <formula>0</formula>
    </cfRule>
  </conditionalFormatting>
  <conditionalFormatting sqref="D158:D163">
    <cfRule type="cellIs" dxfId="17" priority="16" stopIfTrue="1" operator="lessThan">
      <formula>0</formula>
    </cfRule>
  </conditionalFormatting>
  <conditionalFormatting sqref="D164:E165 D166:D167 C169:D169 D170:E170 C171:D171">
    <cfRule type="cellIs" dxfId="16" priority="23" stopIfTrue="1" operator="lessThan">
      <formula>0</formula>
    </cfRule>
  </conditionalFormatting>
  <conditionalFormatting sqref="D177:E179">
    <cfRule type="cellIs" dxfId="15" priority="25" stopIfTrue="1" operator="lessThan">
      <formula>0</formula>
    </cfRule>
  </conditionalFormatting>
  <conditionalFormatting sqref="D179:H242">
    <cfRule type="cellIs" dxfId="14" priority="672" stopIfTrue="1" operator="lessThan">
      <formula>0</formula>
    </cfRule>
  </conditionalFormatting>
  <conditionalFormatting sqref="E3:E4 E7:E8 E11 E13 E15 E23 E125:E131 E146:E163">
    <cfRule type="cellIs" dxfId="13" priority="11" stopIfTrue="1" operator="lessThan">
      <formula>0</formula>
    </cfRule>
  </conditionalFormatting>
  <conditionalFormatting sqref="E19:E20">
    <cfRule type="cellIs" dxfId="12" priority="7" stopIfTrue="1" operator="lessThan">
      <formula>0</formula>
    </cfRule>
  </conditionalFormatting>
  <conditionalFormatting sqref="E35:E37">
    <cfRule type="cellIs" dxfId="11" priority="8" stopIfTrue="1" operator="lessThan">
      <formula>0</formula>
    </cfRule>
  </conditionalFormatting>
  <conditionalFormatting sqref="E42">
    <cfRule type="cellIs" dxfId="10" priority="6" stopIfTrue="1" operator="lessThan">
      <formula>0</formula>
    </cfRule>
  </conditionalFormatting>
  <conditionalFormatting sqref="E58:E59">
    <cfRule type="cellIs" dxfId="9" priority="5" stopIfTrue="1" operator="lessThan">
      <formula>0</formula>
    </cfRule>
  </conditionalFormatting>
  <conditionalFormatting sqref="E61">
    <cfRule type="cellIs" dxfId="8" priority="4" stopIfTrue="1" operator="lessThan">
      <formula>0</formula>
    </cfRule>
  </conditionalFormatting>
  <conditionalFormatting sqref="E64">
    <cfRule type="cellIs" dxfId="7" priority="3" stopIfTrue="1" operator="lessThan">
      <formula>0</formula>
    </cfRule>
  </conditionalFormatting>
  <conditionalFormatting sqref="E166:E169">
    <cfRule type="cellIs" dxfId="6" priority="13" stopIfTrue="1" operator="lessThan">
      <formula>0</formula>
    </cfRule>
  </conditionalFormatting>
  <conditionalFormatting sqref="E171:E176">
    <cfRule type="cellIs" dxfId="5" priority="12" stopIfTrue="1" operator="lessThan">
      <formula>0</formula>
    </cfRule>
  </conditionalFormatting>
  <conditionalFormatting sqref="F68:F69">
    <cfRule type="cellIs" dxfId="4" priority="10" stopIfTrue="1" operator="lessThan">
      <formula>0</formula>
    </cfRule>
  </conditionalFormatting>
  <conditionalFormatting sqref="F98:F99">
    <cfRule type="cellIs" dxfId="3" priority="133" stopIfTrue="1" operator="lessThan">
      <formula>0</formula>
    </cfRule>
  </conditionalFormatting>
  <conditionalFormatting sqref="F116">
    <cfRule type="cellIs" dxfId="2" priority="17" stopIfTrue="1" operator="lessThan">
      <formula>0</formula>
    </cfRule>
  </conditionalFormatting>
  <conditionalFormatting sqref="E66:E68">
    <cfRule type="cellIs" dxfId="1" priority="2" stopIfTrue="1" operator="lessThan">
      <formula>0</formula>
    </cfRule>
  </conditionalFormatting>
  <conditionalFormatting sqref="E72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6:E177 E125:E131 E133:E144 E58:E59 E72 E61 E64 E66:E68 E76:E123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2026-05-21T12:25:41Z</dcterms:modified>
</cp:coreProperties>
</file>