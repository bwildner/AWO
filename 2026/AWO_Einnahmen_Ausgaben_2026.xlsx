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2ADF70E1-883A-47F3-BD98-905CED542C2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Ausgaben!$B$2:$J$174</definedName>
    <definedName name="_xlnm._FilterDatabase" localSheetId="0" hidden="1">Einnahmen!$A$2:$H$107</definedName>
    <definedName name="_xlnm.Print_Area" localSheetId="1">Ausgaben!$A$1:$I$178</definedName>
    <definedName name="_xlnm.Print_Area" localSheetId="0">Einnahmen!$A$1:$H$115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9" i="1" l="1"/>
  <c r="H111" i="4" l="1"/>
  <c r="G111" i="4"/>
  <c r="E111" i="4"/>
  <c r="F111" i="4"/>
  <c r="F179" i="1"/>
  <c r="H179" i="1"/>
  <c r="I179" i="1"/>
  <c r="H113" i="4" l="1"/>
  <c r="F113" i="4"/>
  <c r="E113" i="4"/>
  <c r="G113" i="4"/>
  <c r="D115" i="4" l="1"/>
</calcChain>
</file>

<file path=xl/sharedStrings.xml><?xml version="1.0" encoding="utf-8"?>
<sst xmlns="http://schemas.openxmlformats.org/spreadsheetml/2006/main" count="495" uniqueCount="159">
  <si>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</si>
  <si>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</si>
  <si>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</si>
  <si>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</si>
  <si>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</si>
  <si>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</si>
  <si>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</si>
  <si>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</si>
  <si>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</si>
  <si>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</si>
  <si>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</si>
  <si>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</si>
  <si>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</si>
  <si>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</si>
  <si>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</si>
  <si>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</si>
  <si>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</si>
  <si>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</si>
  <si>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</si>
  <si>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</si>
  <si>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</si>
  <si>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</si>
  <si>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</si>
  <si>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</si>
  <si>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</si>
  <si>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</si>
  <si>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</si>
  <si>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</si>
  <si>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</si>
  <si>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</si>
  <si>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</si>
  <si>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</si>
  <si>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</si>
  <si>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</si>
  <si>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</si>
  <si>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</si>
  <si>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</si>
  <si>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</si>
  <si>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</si>
  <si>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</si>
  <si>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</si>
  <si>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</si>
  <si>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</si>
  <si>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</si>
  <si>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</si>
  <si>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</si>
  <si>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</si>
  <si>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</si>
  <si>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</si>
  <si>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</si>
  <si>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</si>
  <si>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</si>
  <si>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</si>
  <si>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</si>
  <si>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</si>
  <si>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</si>
  <si>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</si>
  <si>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</si>
  <si>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</si>
  <si>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</si>
  <si>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</si>
  <si>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</si>
  <si>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</si>
  <si>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</si>
  <si>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</si>
  <si>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</si>
  <si>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</si>
  <si>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</si>
  <si>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</si>
  <si>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</si>
  <si>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</si>
  <si>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</si>
  <si>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</si>
  <si>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</si>
  <si>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</si>
  <si>
    <t>SPD Miete 11.3.</t>
  </si>
  <si>
    <t>AWO Spendenkasse JHV</t>
  </si>
  <si>
    <t>Bargeld Frühlingserwachen</t>
  </si>
  <si>
    <t>Sumup Frühlingserwachen</t>
  </si>
  <si>
    <t>Abschluss KSK</t>
  </si>
  <si>
    <t>Sumup, AWO Open</t>
  </si>
  <si>
    <t>SPD Getränke</t>
  </si>
  <si>
    <t>Blumen JHV Früchtelädle</t>
  </si>
  <si>
    <t>Jasmin Schulung</t>
  </si>
  <si>
    <t>Ausg Roland Fruehlingserw</t>
  </si>
  <si>
    <t>14a</t>
  </si>
  <si>
    <t>Vereinsförderung Wabu</t>
  </si>
  <si>
    <t>Vereinsförderung Wabu Seniorenarbeit</t>
  </si>
  <si>
    <t>JHV Miete Hdb</t>
  </si>
  <si>
    <t>Sumup Test (Gebühr0,01€)</t>
  </si>
  <si>
    <t>AwOpen Flyer</t>
  </si>
  <si>
    <t>Frühlingserw. Grillgut</t>
  </si>
  <si>
    <t>Frühlingserw. Sonstiges Selgros</t>
  </si>
  <si>
    <t>Frühlingserw. Ausg Rani Indisch</t>
  </si>
  <si>
    <t>Frühlingserw. Ausg Tina Indisch</t>
  </si>
  <si>
    <t>Frühlingserw. Ausg Stefan Getränke</t>
  </si>
  <si>
    <t>Bürgerbus</t>
  </si>
  <si>
    <t>Frühlingserw. Bäcker</t>
  </si>
  <si>
    <t>AwOpen Ausgaben Jasmin</t>
  </si>
  <si>
    <t>Awo Open</t>
  </si>
  <si>
    <t>Awo Kreis Zinsen Kapitalfond</t>
  </si>
  <si>
    <t>AWO Bund Rückverteilung</t>
  </si>
  <si>
    <t>Spende JHV H.Heimann</t>
  </si>
  <si>
    <t>Abschluss KSK siehe Ktauszug04</t>
  </si>
  <si>
    <t>Bargeldeinzahlung 90 Günne Senioren+100tzgl+140busreise</t>
  </si>
  <si>
    <t>Radservice Spendenbox</t>
  </si>
  <si>
    <t>Radservice Brezeln</t>
  </si>
  <si>
    <t>2.Spende Radservice2026</t>
  </si>
  <si>
    <t>SPD Miete</t>
  </si>
  <si>
    <t>Tinte 83,39+  tzgl 5,99</t>
  </si>
  <si>
    <t>Wasser</t>
  </si>
  <si>
    <t>SPD Getränke 6.5.</t>
  </si>
  <si>
    <t>SPD Miete 6.5.</t>
  </si>
  <si>
    <t>Spende Muttertagsbasteln</t>
  </si>
  <si>
    <t>tzgl  12.5.</t>
  </si>
  <si>
    <t>tzgl  26.5.</t>
  </si>
  <si>
    <t>tzgl 9.6.</t>
  </si>
  <si>
    <t>AWO Bund</t>
  </si>
  <si>
    <t>Awo Open 23.6.</t>
  </si>
  <si>
    <t>tzgl 23.6.</t>
  </si>
  <si>
    <t>SPD Getränke Ferdi</t>
  </si>
  <si>
    <t>Spende an Ponde</t>
  </si>
  <si>
    <t>Spende an Awo Waldheim</t>
  </si>
  <si>
    <t>AwoOpen</t>
  </si>
  <si>
    <t>80a</t>
  </si>
  <si>
    <t>SPD 24.6. Miete</t>
  </si>
  <si>
    <t>Busreise</t>
  </si>
  <si>
    <t>D.Müller Spende</t>
  </si>
  <si>
    <t>Getränle Heißwolf</t>
  </si>
  <si>
    <t>A.Haefner Beitrag Jul-Dez</t>
  </si>
  <si>
    <t>Shirts&amp;Sonnenschirm&amp;Sonstiges</t>
  </si>
  <si>
    <t>Spende Musikergage</t>
  </si>
  <si>
    <t>Sommerfest Selgros</t>
  </si>
  <si>
    <t>Sommerfest</t>
  </si>
  <si>
    <t>Escape Game Equipment</t>
  </si>
  <si>
    <t>Sommerfest Fleisch</t>
  </si>
  <si>
    <t>Sommerfest Käse</t>
  </si>
  <si>
    <t>Sommerfest Ukr. Essen</t>
  </si>
  <si>
    <t xml:space="preserve">Einnahmen Escape Game </t>
  </si>
  <si>
    <t>tzgl 7.7.</t>
  </si>
  <si>
    <t>Sommerfest Einnahmen</t>
  </si>
  <si>
    <t>Sommerfest Einnahmen SumUp Beleg fehlt noch</t>
  </si>
  <si>
    <t>Sommerfest Brezeln</t>
  </si>
  <si>
    <t>Sommerfest Drucke</t>
  </si>
  <si>
    <t>Sommerfest Getränke</t>
  </si>
  <si>
    <t>Miete WEG Versammlung Hochhaus</t>
  </si>
  <si>
    <t>Sommerfest Gema</t>
  </si>
  <si>
    <t>tzgl 21.7.</t>
  </si>
  <si>
    <t>Konto gebühr</t>
  </si>
  <si>
    <t>Sommerfest Raisch</t>
  </si>
  <si>
    <t>tzgl 4.8.</t>
  </si>
  <si>
    <t>Escape Game 9.8.</t>
  </si>
  <si>
    <t>Getränke Heißwolf</t>
  </si>
  <si>
    <t>tzgl 18.8.</t>
  </si>
  <si>
    <t>tzgl 1.9.</t>
  </si>
  <si>
    <t>Escape 6.9.</t>
  </si>
  <si>
    <t>Gebühr EC Karte</t>
  </si>
  <si>
    <t>Kinderschminken Sommerfest</t>
  </si>
  <si>
    <t>tzgl 15.9.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</si>
</sst>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5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trike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90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4" fillId="2" borderId="1" xfId="0" applyNumberFormat="1" applyFont="1" applyFill="1" applyBorder="1"/>
    <xf numFmtId="14" fontId="0" fillId="0" borderId="0" xfId="0" applyNumberFormat="1"/>
    <xf numFmtId="49" fontId="2" fillId="2" borderId="15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6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4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0" count="0"/>
        </references>
      </pivotArea>
    </format>
    <format dxfId="60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65">
      <pivotArea field="0" type="button" dataOnly="0" labelOnly="1" outline="0" axis="axisRow" fieldPosition="0"/>
    </format>
    <format dxfId="64">
      <pivotArea dataOnly="0" labelOnly="1" fieldPosition="0">
        <references count="1">
          <reference field="0" count="0"/>
        </references>
      </pivotArea>
    </format>
    <format dxfId="63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51" activePane="bottomLeft" state="frozen"/>
      <selection pane="bottomLeft" activeCell="C69" sqref="C69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6" t="s">
        <v>1</v>
      </c>
      <c r="B1" s="87"/>
      <c r="C1" s="87"/>
      <c r="D1" s="87"/>
      <c r="E1" s="87"/>
      <c r="F1" s="87"/>
      <c r="G1" s="87"/>
      <c r="H1" s="87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A17" s="14">
        <v>46097</v>
      </c>
      <c r="B17" s="48">
        <v>14</v>
      </c>
      <c r="C17" s="81" t="s">
        <v>81</v>
      </c>
      <c r="D17" s="3" t="s">
        <v>0</v>
      </c>
      <c r="E17" s="19"/>
      <c r="F17" s="20">
        <v>10</v>
      </c>
      <c r="G17" s="17"/>
      <c r="H17" s="17"/>
      <c r="I17" s="2"/>
      <c r="J17" s="2" t="s">
        <v>29</v>
      </c>
    </row>
    <row r="18" spans="1:10" s="1" customFormat="1" ht="15" customHeight="1" x14ac:dyDescent="0.3">
      <c r="A18" s="14">
        <v>46097</v>
      </c>
      <c r="B18" s="48" t="s">
        <v>85</v>
      </c>
      <c r="C18" s="3" t="s">
        <v>75</v>
      </c>
      <c r="D18" s="3" t="s">
        <v>0</v>
      </c>
      <c r="E18" s="19"/>
      <c r="F18" s="20"/>
      <c r="G18" s="17"/>
      <c r="H18" s="17">
        <v>20</v>
      </c>
      <c r="I18" s="2"/>
      <c r="J18" s="2" t="s">
        <v>32</v>
      </c>
    </row>
    <row r="19" spans="1:10" s="1" customFormat="1" ht="15" customHeight="1" x14ac:dyDescent="0.3">
      <c r="A19" s="14">
        <v>46104</v>
      </c>
      <c r="B19" s="48">
        <v>15</v>
      </c>
      <c r="C19" s="81" t="s">
        <v>46</v>
      </c>
      <c r="D19" s="3" t="s">
        <v>0</v>
      </c>
      <c r="E19" s="19"/>
      <c r="F19" s="20">
        <v>114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46104</v>
      </c>
      <c r="B20" s="48">
        <v>16</v>
      </c>
      <c r="C20" s="3" t="s">
        <v>76</v>
      </c>
      <c r="D20" s="18" t="s">
        <v>12</v>
      </c>
      <c r="E20" s="19"/>
      <c r="F20" s="20"/>
      <c r="G20" s="17"/>
      <c r="H20" s="17">
        <v>52</v>
      </c>
      <c r="I20" s="2"/>
      <c r="J20" s="2"/>
    </row>
    <row r="21" spans="1:10" s="1" customFormat="1" ht="15" customHeight="1" x14ac:dyDescent="0.3">
      <c r="A21" s="14">
        <v>46108</v>
      </c>
      <c r="B21" s="48">
        <v>17</v>
      </c>
      <c r="C21" s="81" t="s">
        <v>86</v>
      </c>
      <c r="D21" s="18" t="s">
        <v>12</v>
      </c>
      <c r="E21" s="19"/>
      <c r="F21" s="20">
        <v>180</v>
      </c>
      <c r="G21" s="17"/>
      <c r="H21" s="17"/>
      <c r="I21" s="2"/>
      <c r="J21" s="2"/>
    </row>
    <row r="22" spans="1:10" s="1" customFormat="1" ht="15" customHeight="1" x14ac:dyDescent="0.3">
      <c r="A22" s="14">
        <v>46108</v>
      </c>
      <c r="B22" s="48">
        <v>18</v>
      </c>
      <c r="C22" s="81" t="s">
        <v>87</v>
      </c>
      <c r="D22" s="18" t="s">
        <v>12</v>
      </c>
      <c r="E22" s="19"/>
      <c r="F22" s="20">
        <v>360</v>
      </c>
      <c r="G22" s="17"/>
      <c r="H22" s="17"/>
      <c r="I22" s="2"/>
      <c r="J22" s="2"/>
    </row>
    <row r="23" spans="1:10" s="1" customFormat="1" ht="15" customHeight="1" x14ac:dyDescent="0.3">
      <c r="A23" s="14">
        <v>46108</v>
      </c>
      <c r="B23" s="48">
        <v>19</v>
      </c>
      <c r="C23" s="3" t="s">
        <v>89</v>
      </c>
      <c r="D23" s="3" t="s">
        <v>13</v>
      </c>
      <c r="E23" s="19"/>
      <c r="F23" s="20"/>
      <c r="G23" s="20"/>
      <c r="H23" s="20">
        <v>0.99</v>
      </c>
      <c r="I23" s="2"/>
      <c r="J23" s="2"/>
    </row>
    <row r="24" spans="1:10" s="1" customFormat="1" ht="15" customHeight="1" x14ac:dyDescent="0.3">
      <c r="A24" s="14">
        <v>46111</v>
      </c>
      <c r="B24" s="48">
        <v>20</v>
      </c>
      <c r="C24" s="37" t="s">
        <v>77</v>
      </c>
      <c r="D24" s="3" t="s">
        <v>0</v>
      </c>
      <c r="E24" s="16"/>
      <c r="F24" s="20"/>
      <c r="G24" s="17"/>
      <c r="H24" s="17">
        <v>937</v>
      </c>
      <c r="I24" s="2"/>
      <c r="J24" s="2"/>
    </row>
    <row r="25" spans="1:10" s="1" customFormat="1" ht="15" customHeight="1" x14ac:dyDescent="0.3">
      <c r="A25" s="14">
        <v>46111</v>
      </c>
      <c r="B25" s="48">
        <v>21</v>
      </c>
      <c r="C25" s="3" t="s">
        <v>78</v>
      </c>
      <c r="D25" s="3" t="s">
        <v>0</v>
      </c>
      <c r="E25" s="19"/>
      <c r="F25" s="17"/>
      <c r="G25" s="17"/>
      <c r="H25" s="17">
        <v>302.72000000000003</v>
      </c>
      <c r="I25" s="2"/>
      <c r="J25" s="2"/>
    </row>
    <row r="26" spans="1:10" s="1" customFormat="1" ht="15" customHeight="1" x14ac:dyDescent="0.3">
      <c r="A26" s="14">
        <v>46113</v>
      </c>
      <c r="B26" s="48">
        <v>22</v>
      </c>
      <c r="C26" s="3" t="s">
        <v>80</v>
      </c>
      <c r="D26" s="3" t="s">
        <v>0</v>
      </c>
      <c r="E26" s="20"/>
      <c r="F26" s="20"/>
      <c r="G26" s="17"/>
      <c r="H26" s="17">
        <v>4.93</v>
      </c>
      <c r="I26" s="2"/>
      <c r="J26" s="2"/>
    </row>
    <row r="27" spans="1:10" s="1" customFormat="1" ht="15" customHeight="1" x14ac:dyDescent="0.3">
      <c r="A27" s="14">
        <v>46113</v>
      </c>
      <c r="B27" s="48">
        <v>23</v>
      </c>
      <c r="C27" s="37" t="s">
        <v>46</v>
      </c>
      <c r="D27" s="3" t="s">
        <v>0</v>
      </c>
      <c r="E27" s="19"/>
      <c r="F27" s="20">
        <v>69.5</v>
      </c>
      <c r="G27" s="17"/>
      <c r="H27" s="17"/>
      <c r="I27" s="2"/>
      <c r="J27" s="2"/>
    </row>
    <row r="28" spans="1:10" s="1" customFormat="1" ht="15" customHeight="1" x14ac:dyDescent="0.3">
      <c r="A28" s="14">
        <v>46119</v>
      </c>
      <c r="B28" s="15">
        <v>24</v>
      </c>
      <c r="C28" s="3" t="s">
        <v>99</v>
      </c>
      <c r="D28" s="3" t="s">
        <v>0</v>
      </c>
      <c r="E28" s="19"/>
      <c r="F28" s="20">
        <v>22.4</v>
      </c>
      <c r="G28" s="17"/>
      <c r="H28" s="17"/>
      <c r="I28" s="2"/>
      <c r="J28" s="2"/>
    </row>
    <row r="29" spans="1:10" s="1" customFormat="1" ht="15" customHeight="1" x14ac:dyDescent="0.3">
      <c r="A29" s="14">
        <v>46120</v>
      </c>
      <c r="B29" s="15">
        <v>25</v>
      </c>
      <c r="C29" s="3" t="s">
        <v>100</v>
      </c>
      <c r="D29" s="2" t="s">
        <v>24</v>
      </c>
      <c r="E29" s="19"/>
      <c r="F29" s="20">
        <v>250</v>
      </c>
      <c r="G29" s="17"/>
      <c r="H29" s="17"/>
      <c r="I29" s="2"/>
      <c r="J29" s="2"/>
    </row>
    <row r="30" spans="1:10" s="1" customFormat="1" ht="15" customHeight="1" x14ac:dyDescent="0.3">
      <c r="A30" s="14">
        <v>46121</v>
      </c>
      <c r="B30" s="15">
        <v>26</v>
      </c>
      <c r="C30" s="3" t="s">
        <v>101</v>
      </c>
      <c r="D30" s="2" t="s">
        <v>26</v>
      </c>
      <c r="E30" s="19"/>
      <c r="F30" s="20">
        <v>22.19</v>
      </c>
      <c r="G30" s="17"/>
      <c r="H30" s="17"/>
      <c r="I30" s="2"/>
      <c r="J30" s="2"/>
    </row>
    <row r="31" spans="1:10" s="1" customFormat="1" ht="15" customHeight="1" x14ac:dyDescent="0.3">
      <c r="A31" s="14">
        <v>46121</v>
      </c>
      <c r="B31" s="15">
        <v>27</v>
      </c>
      <c r="C31" s="3" t="s">
        <v>102</v>
      </c>
      <c r="D31" s="18" t="s">
        <v>12</v>
      </c>
      <c r="E31" s="19"/>
      <c r="F31" s="20">
        <v>50</v>
      </c>
      <c r="G31" s="17"/>
      <c r="H31" s="17"/>
      <c r="I31" s="2"/>
      <c r="J31" s="2"/>
    </row>
    <row r="32" spans="1:10" s="1" customFormat="1" ht="15" customHeight="1" x14ac:dyDescent="0.3">
      <c r="A32" s="14">
        <v>46129</v>
      </c>
      <c r="B32" s="15">
        <v>28</v>
      </c>
      <c r="C32" s="15" t="s">
        <v>104</v>
      </c>
      <c r="D32" s="3" t="s">
        <v>0</v>
      </c>
      <c r="E32" s="16"/>
      <c r="F32" s="17"/>
      <c r="G32" s="17"/>
      <c r="H32" s="17">
        <v>330</v>
      </c>
      <c r="I32" s="2"/>
      <c r="J32" s="2"/>
    </row>
    <row r="33" spans="1:10" s="1" customFormat="1" ht="15" customHeight="1" x14ac:dyDescent="0.3">
      <c r="A33" s="14">
        <v>46139</v>
      </c>
      <c r="B33" s="15">
        <v>29</v>
      </c>
      <c r="C33" s="15" t="s">
        <v>105</v>
      </c>
      <c r="D33" s="3" t="s">
        <v>0</v>
      </c>
      <c r="E33" s="19"/>
      <c r="F33" s="20">
        <v>128.5</v>
      </c>
      <c r="G33" s="17"/>
      <c r="H33" s="17"/>
      <c r="I33" s="2"/>
      <c r="J33" s="2"/>
    </row>
    <row r="34" spans="1:10" s="1" customFormat="1" ht="15" customHeight="1" x14ac:dyDescent="0.3">
      <c r="A34" s="14">
        <v>46146</v>
      </c>
      <c r="B34" s="15">
        <v>30</v>
      </c>
      <c r="C34" s="15" t="s">
        <v>46</v>
      </c>
      <c r="D34" s="3" t="s">
        <v>0</v>
      </c>
      <c r="E34" s="16"/>
      <c r="F34" s="17"/>
      <c r="G34" s="17"/>
      <c r="H34" s="17">
        <v>100</v>
      </c>
      <c r="I34" s="2"/>
      <c r="J34" s="2"/>
    </row>
    <row r="35" spans="1:10" s="1" customFormat="1" ht="15" customHeight="1" x14ac:dyDescent="0.3">
      <c r="A35" s="14">
        <v>46146</v>
      </c>
      <c r="B35" s="15">
        <v>31</v>
      </c>
      <c r="C35" s="15" t="s">
        <v>107</v>
      </c>
      <c r="D35" s="3" t="s">
        <v>0</v>
      </c>
      <c r="E35" s="16"/>
      <c r="F35" s="17"/>
      <c r="G35" s="17"/>
      <c r="H35" s="17">
        <v>10</v>
      </c>
      <c r="I35" s="2"/>
      <c r="J35" s="2"/>
    </row>
    <row r="36" spans="1:10" s="1" customFormat="1" ht="15" customHeight="1" x14ac:dyDescent="0.3">
      <c r="A36" s="14">
        <v>46146</v>
      </c>
      <c r="B36" s="15">
        <v>32</v>
      </c>
      <c r="C36" s="15" t="s">
        <v>81</v>
      </c>
      <c r="D36" s="3" t="s">
        <v>0</v>
      </c>
      <c r="E36" s="16"/>
      <c r="F36" s="17"/>
      <c r="G36" s="17"/>
      <c r="H36" s="17">
        <v>42.5</v>
      </c>
      <c r="I36" s="2"/>
      <c r="J36" s="2"/>
    </row>
    <row r="37" spans="1:10" s="1" customFormat="1" ht="15" customHeight="1" x14ac:dyDescent="0.3">
      <c r="A37" s="14">
        <v>46146</v>
      </c>
      <c r="B37" s="15">
        <v>33</v>
      </c>
      <c r="C37" s="15" t="s">
        <v>108</v>
      </c>
      <c r="D37" s="3" t="s">
        <v>0</v>
      </c>
      <c r="E37" s="16"/>
      <c r="F37" s="17"/>
      <c r="G37" s="17"/>
      <c r="H37" s="17">
        <v>20</v>
      </c>
      <c r="I37" s="2"/>
      <c r="J37" s="2"/>
    </row>
    <row r="38" spans="1:10" s="1" customFormat="1" ht="15" customHeight="1" x14ac:dyDescent="0.3">
      <c r="A38" s="14">
        <v>46150</v>
      </c>
      <c r="B38" s="15">
        <v>34</v>
      </c>
      <c r="C38" s="15" t="s">
        <v>111</v>
      </c>
      <c r="D38" s="3" t="s">
        <v>0</v>
      </c>
      <c r="E38" s="19"/>
      <c r="G38" s="17"/>
      <c r="H38" s="20">
        <v>28</v>
      </c>
      <c r="I38" s="2"/>
      <c r="J38" s="2"/>
    </row>
    <row r="39" spans="1:10" s="1" customFormat="1" ht="15" customHeight="1" x14ac:dyDescent="0.3">
      <c r="A39" s="14">
        <v>46153</v>
      </c>
      <c r="B39" s="48">
        <v>35</v>
      </c>
      <c r="C39" s="15" t="s">
        <v>112</v>
      </c>
      <c r="D39" s="3" t="s">
        <v>0</v>
      </c>
      <c r="E39" s="16"/>
      <c r="F39" s="17"/>
      <c r="G39" s="17"/>
      <c r="H39" s="17">
        <v>20</v>
      </c>
      <c r="I39" s="2"/>
      <c r="J39" s="2"/>
    </row>
    <row r="40" spans="1:10" s="1" customFormat="1" ht="15" customHeight="1" x14ac:dyDescent="0.3">
      <c r="A40" s="14">
        <v>46160</v>
      </c>
      <c r="B40" s="15">
        <v>36</v>
      </c>
      <c r="C40" s="37" t="s">
        <v>113</v>
      </c>
      <c r="D40" s="3" t="s">
        <v>0</v>
      </c>
      <c r="E40" s="16"/>
      <c r="F40" s="17">
        <v>30</v>
      </c>
      <c r="G40" s="17"/>
      <c r="H40" s="17"/>
      <c r="I40" s="2"/>
      <c r="J40" s="2"/>
    </row>
    <row r="41" spans="1:10" s="1" customFormat="1" ht="15" customHeight="1" x14ac:dyDescent="0.3">
      <c r="A41" s="14">
        <v>46168</v>
      </c>
      <c r="B41" s="15">
        <v>37</v>
      </c>
      <c r="C41" s="3" t="s">
        <v>114</v>
      </c>
      <c r="D41" s="3" t="s">
        <v>0</v>
      </c>
      <c r="E41" s="16"/>
      <c r="F41" s="17"/>
      <c r="G41" s="17"/>
      <c r="H41" s="17">
        <v>108</v>
      </c>
      <c r="I41" s="2"/>
      <c r="J41" s="2"/>
    </row>
    <row r="42" spans="1:10" s="1" customFormat="1" ht="15" customHeight="1" x14ac:dyDescent="0.3">
      <c r="A42" s="14">
        <v>46174</v>
      </c>
      <c r="B42" s="15">
        <v>38</v>
      </c>
      <c r="C42" s="3" t="s">
        <v>115</v>
      </c>
      <c r="D42" s="3" t="s">
        <v>0</v>
      </c>
      <c r="E42" s="16"/>
      <c r="F42" s="17"/>
      <c r="G42" s="17"/>
      <c r="H42" s="17">
        <v>80</v>
      </c>
      <c r="I42" s="2"/>
      <c r="J42" s="2"/>
    </row>
    <row r="43" spans="1:10" s="1" customFormat="1" ht="15" customHeight="1" x14ac:dyDescent="0.3">
      <c r="A43" s="14">
        <v>46184</v>
      </c>
      <c r="B43" s="48">
        <v>39</v>
      </c>
      <c r="C43" s="37" t="s">
        <v>116</v>
      </c>
      <c r="D43" s="3" t="s">
        <v>0</v>
      </c>
      <c r="E43" s="19"/>
      <c r="F43" s="20"/>
      <c r="G43" s="17"/>
      <c r="H43" s="17">
        <v>85</v>
      </c>
      <c r="I43" s="2"/>
      <c r="J43" s="2"/>
    </row>
    <row r="44" spans="1:10" s="1" customFormat="1" ht="15" customHeight="1" x14ac:dyDescent="0.3">
      <c r="A44" s="14">
        <v>46197</v>
      </c>
      <c r="B44" s="15">
        <v>40</v>
      </c>
      <c r="C44" s="3" t="s">
        <v>117</v>
      </c>
      <c r="D44" s="18" t="s">
        <v>26</v>
      </c>
      <c r="E44" s="19"/>
      <c r="F44" s="20">
        <v>22.19</v>
      </c>
      <c r="G44" s="17"/>
      <c r="H44" s="17"/>
      <c r="I44" s="2"/>
      <c r="J44" s="2"/>
    </row>
    <row r="45" spans="1:10" s="1" customFormat="1" ht="15" customHeight="1" x14ac:dyDescent="0.3">
      <c r="A45" s="14">
        <v>46198</v>
      </c>
      <c r="B45" s="15">
        <v>41</v>
      </c>
      <c r="C45" s="3" t="s">
        <v>118</v>
      </c>
      <c r="D45" s="3" t="s">
        <v>0</v>
      </c>
      <c r="E45" s="19"/>
      <c r="F45" s="20"/>
      <c r="G45" s="17"/>
      <c r="H45" s="17">
        <v>33</v>
      </c>
      <c r="I45" s="2"/>
      <c r="J45" s="2"/>
    </row>
    <row r="46" spans="1:10" s="1" customFormat="1" ht="15" customHeight="1" x14ac:dyDescent="0.3">
      <c r="A46" s="14">
        <v>46199</v>
      </c>
      <c r="B46" s="15">
        <v>42</v>
      </c>
      <c r="C46" s="3" t="s">
        <v>119</v>
      </c>
      <c r="D46" s="3" t="s">
        <v>0</v>
      </c>
      <c r="E46" s="19"/>
      <c r="F46" s="20"/>
      <c r="G46" s="17"/>
      <c r="H46" s="17">
        <v>61</v>
      </c>
      <c r="I46" s="2"/>
      <c r="J46" s="2"/>
    </row>
    <row r="47" spans="1:10" s="1" customFormat="1" ht="15" customHeight="1" x14ac:dyDescent="0.3">
      <c r="A47" s="14">
        <v>46199</v>
      </c>
      <c r="B47" s="15">
        <v>43</v>
      </c>
      <c r="C47" s="3" t="s">
        <v>81</v>
      </c>
      <c r="D47" s="3" t="s">
        <v>0</v>
      </c>
      <c r="E47" s="19"/>
      <c r="F47" s="20"/>
      <c r="G47" s="17"/>
      <c r="H47" s="17">
        <v>6</v>
      </c>
      <c r="I47" s="2"/>
      <c r="J47" s="2"/>
    </row>
    <row r="48" spans="1:10" s="1" customFormat="1" ht="15" customHeight="1" x14ac:dyDescent="0.3">
      <c r="A48" s="14">
        <v>46199</v>
      </c>
      <c r="B48" s="15">
        <v>44</v>
      </c>
      <c r="C48" s="3" t="s">
        <v>120</v>
      </c>
      <c r="D48" s="3" t="s">
        <v>0</v>
      </c>
      <c r="E48" s="16"/>
      <c r="F48" s="17">
        <v>2</v>
      </c>
      <c r="G48" s="17"/>
      <c r="H48" s="17"/>
      <c r="I48" s="2"/>
      <c r="J48" s="2"/>
    </row>
    <row r="49" spans="1:10" s="1" customFormat="1" ht="15" customHeight="1" x14ac:dyDescent="0.3">
      <c r="A49" s="84">
        <v>46202</v>
      </c>
      <c r="B49" s="15">
        <v>45</v>
      </c>
      <c r="C49" s="3" t="s">
        <v>125</v>
      </c>
      <c r="D49" s="3" t="s">
        <v>0</v>
      </c>
      <c r="E49" s="16"/>
      <c r="F49" s="17"/>
      <c r="G49" s="17"/>
      <c r="H49" s="17">
        <v>20</v>
      </c>
      <c r="I49" s="2"/>
      <c r="J49" s="2"/>
    </row>
    <row r="50" spans="1:10" s="1" customFormat="1" ht="15" customHeight="1" x14ac:dyDescent="0.3">
      <c r="A50" s="14">
        <v>46203</v>
      </c>
      <c r="B50" s="15">
        <v>46</v>
      </c>
      <c r="C50" s="3" t="s">
        <v>126</v>
      </c>
      <c r="D50" s="18" t="s">
        <v>13</v>
      </c>
      <c r="E50" s="19"/>
      <c r="F50" s="20"/>
      <c r="G50" s="17"/>
      <c r="H50" s="17">
        <v>110</v>
      </c>
      <c r="I50" s="2"/>
      <c r="J50" s="2"/>
    </row>
    <row r="51" spans="1:10" s="1" customFormat="1" ht="15" customHeight="1" x14ac:dyDescent="0.3">
      <c r="A51" s="14">
        <v>46203</v>
      </c>
      <c r="B51" s="15">
        <v>47</v>
      </c>
      <c r="C51" s="3" t="s">
        <v>127</v>
      </c>
      <c r="D51" s="18" t="s">
        <v>12</v>
      </c>
      <c r="E51" s="16"/>
      <c r="F51" s="17"/>
      <c r="G51" s="17"/>
      <c r="H51" s="17">
        <v>100</v>
      </c>
      <c r="I51" s="2"/>
      <c r="J51" s="2"/>
    </row>
    <row r="52" spans="1:10" s="1" customFormat="1" ht="15" customHeight="1" x14ac:dyDescent="0.3">
      <c r="A52" s="14">
        <v>46203</v>
      </c>
      <c r="B52" s="15">
        <v>48</v>
      </c>
      <c r="C52" s="3" t="s">
        <v>128</v>
      </c>
      <c r="D52" s="3" t="s">
        <v>0</v>
      </c>
      <c r="E52" s="19"/>
      <c r="F52" s="17"/>
      <c r="G52" s="17"/>
      <c r="H52" s="17">
        <v>20</v>
      </c>
      <c r="I52" s="2"/>
      <c r="J52" s="2"/>
    </row>
    <row r="53" spans="1:10" s="1" customFormat="1" ht="15" customHeight="1" x14ac:dyDescent="0.3">
      <c r="A53" s="14">
        <v>46206</v>
      </c>
      <c r="B53" s="15">
        <v>49</v>
      </c>
      <c r="C53" s="3" t="s">
        <v>129</v>
      </c>
      <c r="D53" s="18" t="s">
        <v>26</v>
      </c>
      <c r="E53" s="19"/>
      <c r="F53" s="20"/>
      <c r="G53" s="17"/>
      <c r="H53" s="17">
        <v>15</v>
      </c>
      <c r="I53" s="2"/>
      <c r="J53" s="2"/>
    </row>
    <row r="54" spans="1:10" s="1" customFormat="1" ht="15" customHeight="1" x14ac:dyDescent="0.3">
      <c r="A54" s="14">
        <v>46216</v>
      </c>
      <c r="B54" s="15">
        <v>50</v>
      </c>
      <c r="C54" s="3" t="s">
        <v>138</v>
      </c>
      <c r="D54" s="3" t="s">
        <v>0</v>
      </c>
      <c r="E54" s="16"/>
      <c r="F54" s="17"/>
      <c r="G54" s="17"/>
      <c r="H54" s="17">
        <v>75</v>
      </c>
      <c r="I54" s="2"/>
      <c r="J54" s="2"/>
    </row>
    <row r="55" spans="1:10" s="1" customFormat="1" ht="15" customHeight="1" x14ac:dyDescent="0.3">
      <c r="A55" s="14">
        <v>46216</v>
      </c>
      <c r="B55" s="15">
        <v>51</v>
      </c>
      <c r="C55" s="3" t="s">
        <v>139</v>
      </c>
      <c r="D55" s="3" t="s">
        <v>0</v>
      </c>
      <c r="E55" s="16"/>
      <c r="F55" s="17"/>
      <c r="G55" s="17"/>
      <c r="H55" s="17">
        <v>76</v>
      </c>
      <c r="I55" s="2"/>
      <c r="J55" s="2"/>
    </row>
    <row r="56" spans="1:10" s="1" customFormat="1" ht="15" customHeight="1" x14ac:dyDescent="0.3">
      <c r="A56" s="14">
        <v>46223</v>
      </c>
      <c r="B56" s="15">
        <v>52</v>
      </c>
      <c r="C56" s="3" t="s">
        <v>140</v>
      </c>
      <c r="D56" s="3" t="s">
        <v>0</v>
      </c>
      <c r="E56" s="16"/>
      <c r="F56" s="17"/>
      <c r="G56" s="17"/>
      <c r="H56" s="17">
        <v>1607.21</v>
      </c>
      <c r="I56" s="2"/>
      <c r="J56" s="2"/>
    </row>
    <row r="57" spans="1:10" s="1" customFormat="1" ht="15" customHeight="1" x14ac:dyDescent="0.3">
      <c r="A57" s="14">
        <v>46223</v>
      </c>
      <c r="B57" s="15">
        <v>53</v>
      </c>
      <c r="C57" s="3" t="s">
        <v>141</v>
      </c>
      <c r="D57" s="3" t="s">
        <v>0</v>
      </c>
      <c r="E57" s="16"/>
      <c r="F57" s="17"/>
      <c r="G57" s="17"/>
      <c r="H57" s="17">
        <v>38.950000000000003</v>
      </c>
      <c r="I57" s="2"/>
      <c r="J57" s="2"/>
    </row>
    <row r="58" spans="1:10" s="1" customFormat="1" ht="15" customHeight="1" x14ac:dyDescent="0.3">
      <c r="A58" s="14">
        <v>46225</v>
      </c>
      <c r="B58" s="15">
        <v>54</v>
      </c>
      <c r="C58" s="3" t="s">
        <v>145</v>
      </c>
      <c r="D58" s="3" t="s">
        <v>0</v>
      </c>
      <c r="E58" s="16"/>
      <c r="F58" s="17"/>
      <c r="G58" s="17"/>
      <c r="H58" s="17">
        <v>27.5</v>
      </c>
      <c r="I58" s="2"/>
      <c r="J58" s="2"/>
    </row>
    <row r="59" spans="1:10" s="1" customFormat="1" ht="15" customHeight="1" x14ac:dyDescent="0.3">
      <c r="A59" s="14">
        <v>46226</v>
      </c>
      <c r="B59" s="15">
        <v>55</v>
      </c>
      <c r="C59" s="3" t="s">
        <v>138</v>
      </c>
      <c r="D59" s="3" t="s">
        <v>0</v>
      </c>
      <c r="E59" s="19"/>
      <c r="F59" s="17"/>
      <c r="G59" s="17"/>
      <c r="H59" s="17">
        <v>12</v>
      </c>
      <c r="I59" s="2"/>
      <c r="J59" s="2"/>
    </row>
    <row r="60" spans="1:10" s="1" customFormat="1" ht="15" customHeight="1" x14ac:dyDescent="0.3">
      <c r="A60" s="14">
        <v>46230</v>
      </c>
      <c r="B60" s="15">
        <v>56</v>
      </c>
      <c r="C60" s="3" t="s">
        <v>101</v>
      </c>
      <c r="D60" s="2" t="s">
        <v>26</v>
      </c>
      <c r="E60" s="19"/>
      <c r="F60" s="17">
        <v>1367.93</v>
      </c>
      <c r="G60" s="17"/>
      <c r="H60" s="17"/>
      <c r="I60" s="2"/>
      <c r="J60" s="2"/>
    </row>
    <row r="61" spans="1:10" s="1" customFormat="1" ht="15" customHeight="1" x14ac:dyDescent="0.3">
      <c r="A61" s="14">
        <v>46232</v>
      </c>
      <c r="B61" s="15">
        <v>57</v>
      </c>
      <c r="C61" s="3" t="s">
        <v>147</v>
      </c>
      <c r="D61" s="3" t="s">
        <v>0</v>
      </c>
      <c r="E61" s="16"/>
      <c r="F61" s="17"/>
      <c r="G61" s="17"/>
      <c r="H61" s="17">
        <v>105</v>
      </c>
      <c r="I61" s="2"/>
      <c r="J61" s="2"/>
    </row>
    <row r="62" spans="1:10" s="1" customFormat="1" ht="15" customHeight="1" x14ac:dyDescent="0.3">
      <c r="A62" s="14">
        <v>46245</v>
      </c>
      <c r="B62" s="48">
        <v>58</v>
      </c>
      <c r="C62" s="3" t="s">
        <v>150</v>
      </c>
      <c r="D62" s="3" t="s">
        <v>0</v>
      </c>
      <c r="E62" s="16"/>
      <c r="F62" s="17"/>
      <c r="G62" s="17"/>
      <c r="H62" s="17">
        <v>75</v>
      </c>
      <c r="I62" s="2"/>
      <c r="J62" s="2"/>
    </row>
    <row r="63" spans="1:10" s="1" customFormat="1" ht="15" customHeight="1" x14ac:dyDescent="0.3">
      <c r="A63" s="14">
        <v>46246</v>
      </c>
      <c r="B63" s="48">
        <v>59</v>
      </c>
      <c r="C63" s="3" t="s">
        <v>151</v>
      </c>
      <c r="D63" s="3" t="s">
        <v>0</v>
      </c>
      <c r="E63" s="16"/>
      <c r="F63" s="17"/>
      <c r="G63" s="17"/>
      <c r="H63" s="17">
        <v>17.5</v>
      </c>
      <c r="I63" s="2"/>
      <c r="J63" s="2"/>
    </row>
    <row r="64" spans="1:10" s="1" customFormat="1" ht="15" customHeight="1" x14ac:dyDescent="0.3">
      <c r="A64" s="14">
        <v>46251</v>
      </c>
      <c r="B64" s="48">
        <v>60</v>
      </c>
      <c r="C64" s="37" t="s">
        <v>152</v>
      </c>
      <c r="D64" s="3" t="s">
        <v>0</v>
      </c>
      <c r="E64" s="16"/>
      <c r="F64" s="17"/>
      <c r="G64" s="17"/>
      <c r="H64" s="17">
        <v>50</v>
      </c>
      <c r="I64" s="2"/>
      <c r="J64" s="2"/>
    </row>
    <row r="65" spans="1:10" s="1" customFormat="1" ht="15" customHeight="1" x14ac:dyDescent="0.3">
      <c r="A65" s="14">
        <v>46258</v>
      </c>
      <c r="B65" s="48">
        <v>61</v>
      </c>
      <c r="C65" s="3" t="s">
        <v>153</v>
      </c>
      <c r="D65" s="3" t="s">
        <v>0</v>
      </c>
      <c r="E65" s="16"/>
      <c r="F65" s="17"/>
      <c r="G65" s="17"/>
      <c r="H65" s="17">
        <v>94</v>
      </c>
      <c r="I65" s="2"/>
      <c r="J65" s="2"/>
    </row>
    <row r="66" spans="1:10" s="1" customFormat="1" ht="15" customHeight="1" x14ac:dyDescent="0.3">
      <c r="A66" s="14">
        <v>46276</v>
      </c>
      <c r="B66" s="48">
        <v>62</v>
      </c>
      <c r="C66" s="3" t="s">
        <v>154</v>
      </c>
      <c r="D66" s="3" t="s">
        <v>0</v>
      </c>
      <c r="E66" s="16"/>
      <c r="F66" s="17"/>
      <c r="G66" s="17"/>
      <c r="H66" s="17">
        <v>100</v>
      </c>
      <c r="I66" s="2"/>
      <c r="J66" s="2"/>
    </row>
    <row r="67" spans="1:10" s="1" customFormat="1" ht="15" customHeight="1" x14ac:dyDescent="0.3">
      <c r="A67" s="14">
        <v>46279</v>
      </c>
      <c r="B67" s="15">
        <v>63</v>
      </c>
      <c r="C67" s="15" t="s">
        <v>155</v>
      </c>
      <c r="D67" s="3" t="s">
        <v>0</v>
      </c>
      <c r="E67" s="16"/>
      <c r="F67" s="17"/>
      <c r="G67" s="17"/>
      <c r="H67" s="17">
        <v>15</v>
      </c>
      <c r="I67" s="2"/>
      <c r="J67" s="2"/>
    </row>
    <row r="68" spans="1:10" s="1" customFormat="1" ht="15" customHeight="1" x14ac:dyDescent="0.3">
      <c r="A68" s="14">
        <v>46281</v>
      </c>
      <c r="B68" s="48">
        <v>64</v>
      </c>
      <c r="C68" s="3" t="s">
        <v>158</v>
      </c>
      <c r="D68" s="3" t="s">
        <v>0</v>
      </c>
      <c r="E68" s="16"/>
      <c r="F68" s="17"/>
      <c r="G68" s="17"/>
      <c r="H68" s="17">
        <v>93</v>
      </c>
      <c r="I68" s="2"/>
      <c r="J68" s="2"/>
    </row>
    <row r="69" spans="1:10" s="1" customFormat="1" ht="15" customHeight="1" x14ac:dyDescent="0.3">
      <c r="A69" s="14"/>
      <c r="B69" s="15">
        <v>65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66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67</v>
      </c>
      <c r="C71" s="15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68</v>
      </c>
      <c r="C72" s="15"/>
      <c r="D72" s="18"/>
      <c r="E72" s="19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69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70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71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72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73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74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75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76</v>
      </c>
      <c r="C80" s="37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77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78</v>
      </c>
      <c r="C82" s="3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48">
        <v>79</v>
      </c>
      <c r="C83" s="50"/>
      <c r="D83" s="18"/>
      <c r="E83" s="51"/>
      <c r="F83" s="20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80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81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82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83</v>
      </c>
      <c r="C87" s="50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85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86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89</v>
      </c>
      <c r="C93" s="37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90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91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92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93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95</v>
      </c>
      <c r="C99" s="37"/>
      <c r="D99" s="18"/>
      <c r="E99" s="20"/>
      <c r="F99" s="20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96</v>
      </c>
      <c r="C100" s="37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97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98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99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103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14"/>
      <c r="B110" s="15"/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22" t="s">
        <v>15</v>
      </c>
      <c r="B111" s="23"/>
      <c r="C111" s="23"/>
      <c r="D111" s="24"/>
      <c r="E111" s="25">
        <f>SUM(E3:E110)</f>
        <v>0</v>
      </c>
      <c r="F111" s="26">
        <f>SUM(F3:F110)</f>
        <v>7338.5000000000236</v>
      </c>
      <c r="G111" s="26">
        <f>SUM(G3:G110)</f>
        <v>2000.5</v>
      </c>
      <c r="H111" s="26">
        <f>SUM(H3:H110)</f>
        <v>9526.27</v>
      </c>
      <c r="I111" s="2"/>
      <c r="J111" s="2"/>
    </row>
    <row r="112" spans="1:10" s="1" customFormat="1" ht="15" customHeight="1" x14ac:dyDescent="0.3">
      <c r="A112" s="33"/>
      <c r="B112" s="33"/>
      <c r="C112" s="33"/>
      <c r="D112" s="33"/>
      <c r="E112" s="34"/>
      <c r="F112" s="34"/>
      <c r="G112" s="34"/>
      <c r="H112" s="34"/>
      <c r="I112" s="2"/>
      <c r="J112" s="2"/>
    </row>
    <row r="113" spans="1:10" s="1" customFormat="1" ht="15" customHeight="1" x14ac:dyDescent="0.3">
      <c r="A113" s="22" t="s">
        <v>16</v>
      </c>
      <c r="B113" s="23"/>
      <c r="C113" s="23"/>
      <c r="D113" s="45"/>
      <c r="E113" s="26">
        <f>E111+Ausgaben!F179</f>
        <v>0</v>
      </c>
      <c r="F113" s="26">
        <f>F111+Ausgaben!G179</f>
        <v>2121.870000000029</v>
      </c>
      <c r="G113" s="26">
        <f>G111+Ausgaben!H179</f>
        <v>2000.5</v>
      </c>
      <c r="H113" s="26">
        <f>H111+Ausgaben!I179</f>
        <v>4651.0600000000004</v>
      </c>
      <c r="I113" s="2"/>
      <c r="J113" s="2"/>
    </row>
    <row r="114" spans="1:10" s="1" customFormat="1" ht="15" customHeight="1" x14ac:dyDescent="0.3">
      <c r="A114" s="35"/>
      <c r="B114" s="35"/>
      <c r="C114" s="35"/>
      <c r="D114" s="35"/>
      <c r="E114" s="13"/>
      <c r="F114" s="13"/>
      <c r="G114" s="13"/>
      <c r="H114" s="13"/>
      <c r="I114" s="2"/>
      <c r="J114" s="2"/>
    </row>
    <row r="115" spans="1:10" s="1" customFormat="1" ht="15" customHeight="1" x14ac:dyDescent="0.3">
      <c r="A115" s="5" t="s">
        <v>17</v>
      </c>
      <c r="B115" s="5"/>
      <c r="C115" s="22"/>
      <c r="D115" s="27">
        <f>SUM(E113:H113)</f>
        <v>8773.4300000000294</v>
      </c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36"/>
      <c r="B116" s="36"/>
      <c r="C116" s="36"/>
      <c r="D116" s="36"/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 t="s">
        <v>43</v>
      </c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A175" s="2"/>
      <c r="B175" s="2"/>
      <c r="C175" s="2"/>
      <c r="D175" s="2"/>
      <c r="E175" s="17"/>
      <c r="F175" s="17"/>
      <c r="G175" s="17"/>
      <c r="H175" s="17"/>
      <c r="J175" s="2"/>
    </row>
  </sheetData>
  <autoFilter ref="A2:H107" xr:uid="{00000000-0009-0000-0000-000000000000}"/>
  <mergeCells count="1">
    <mergeCell ref="A1:H1"/>
  </mergeCells>
  <conditionalFormatting sqref="D6 D8:D9 D11:D14 G24:H24 E54:F58 D61:G68 E73:G77 A94:A97 D68:D77">
    <cfRule type="cellIs" dxfId="59" priority="68" stopIfTrue="1" operator="lessThan">
      <formula>0</formula>
    </cfRule>
  </conditionalFormatting>
  <conditionalFormatting sqref="D20:D22 D31 D41:D59 D61:D68">
    <cfRule type="cellIs" dxfId="58" priority="6" stopIfTrue="1" operator="lessThan">
      <formula>0</formula>
    </cfRule>
  </conditionalFormatting>
  <conditionalFormatting sqref="D83:D89">
    <cfRule type="cellIs" dxfId="57" priority="27" stopIfTrue="1" operator="lessThan">
      <formula>0</formula>
    </cfRule>
  </conditionalFormatting>
  <conditionalFormatting sqref="D82:F82">
    <cfRule type="cellIs" dxfId="56" priority="28" stopIfTrue="1" operator="lessThan">
      <formula>0</formula>
    </cfRule>
  </conditionalFormatting>
  <conditionalFormatting sqref="D78:G81">
    <cfRule type="cellIs" dxfId="55" priority="29" stopIfTrue="1" operator="lessThan">
      <formula>0</formula>
    </cfRule>
  </conditionalFormatting>
  <conditionalFormatting sqref="D101:G110">
    <cfRule type="cellIs" dxfId="54" priority="61" stopIfTrue="1" operator="lessThan">
      <formula>0</formula>
    </cfRule>
  </conditionalFormatting>
  <conditionalFormatting sqref="E24">
    <cfRule type="cellIs" dxfId="53" priority="88" stopIfTrue="1" operator="lessThan">
      <formula>0</formula>
    </cfRule>
  </conditionalFormatting>
  <conditionalFormatting sqref="E41:F42">
    <cfRule type="cellIs" dxfId="52" priority="1" stopIfTrue="1" operator="lessThan">
      <formula>0</formula>
    </cfRule>
  </conditionalFormatting>
  <conditionalFormatting sqref="E34:G37 G38 E39:G40">
    <cfRule type="cellIs" dxfId="51" priority="50" stopIfTrue="1" operator="lessThan">
      <formula>0</formula>
    </cfRule>
  </conditionalFormatting>
  <conditionalFormatting sqref="E48:G49 G50:G51 E51:F51 F52:G52 G53:G58">
    <cfRule type="cellIs" dxfId="50" priority="108" stopIfTrue="1" operator="lessThan">
      <formula>0</formula>
    </cfRule>
  </conditionalFormatting>
  <conditionalFormatting sqref="E69:G71 G82:G83">
    <cfRule type="cellIs" dxfId="49" priority="82" stopIfTrue="1" operator="lessThan">
      <formula>0</formula>
    </cfRule>
  </conditionalFormatting>
  <conditionalFormatting sqref="E84:G89 D90:G98">
    <cfRule type="cellIs" dxfId="48" priority="64" stopIfTrue="1" operator="lessThan">
      <formula>0</formula>
    </cfRule>
  </conditionalFormatting>
  <conditionalFormatting sqref="E3:H3">
    <cfRule type="cellIs" dxfId="47" priority="13" stopIfTrue="1" operator="lessThan">
      <formula>0</formula>
    </cfRule>
  </conditionalFormatting>
  <conditionalFormatting sqref="E32:H32">
    <cfRule type="cellIs" dxfId="46" priority="2" stopIfTrue="1" operator="lessThan">
      <formula>0</formula>
    </cfRule>
  </conditionalFormatting>
  <conditionalFormatting sqref="F25:G25">
    <cfRule type="cellIs" dxfId="45" priority="283" stopIfTrue="1" operator="lessThan">
      <formula>0</formula>
    </cfRule>
  </conditionalFormatting>
  <conditionalFormatting sqref="F59:G60">
    <cfRule type="cellIs" dxfId="44" priority="25" stopIfTrue="1" operator="lessThan">
      <formula>0</formula>
    </cfRule>
  </conditionalFormatting>
  <conditionalFormatting sqref="F72:G72">
    <cfRule type="cellIs" dxfId="43" priority="80" stopIfTrue="1" operator="lessThan">
      <formula>0</formula>
    </cfRule>
  </conditionalFormatting>
  <conditionalFormatting sqref="G4:G13 A93:C93">
    <cfRule type="cellIs" dxfId="42" priority="196" stopIfTrue="1" operator="lessThan">
      <formula>0</formula>
    </cfRule>
  </conditionalFormatting>
  <conditionalFormatting sqref="G26:G27">
    <cfRule type="cellIs" dxfId="41" priority="280" stopIfTrue="1" operator="lessThan">
      <formula>0</formula>
    </cfRule>
  </conditionalFormatting>
  <conditionalFormatting sqref="G99 E100:G100 D110:H110 E111:H175 D115">
    <cfRule type="cellIs" dxfId="40" priority="362" stopIfTrue="1" operator="lessThan">
      <formula>0</formula>
    </cfRule>
  </conditionalFormatting>
  <conditionalFormatting sqref="G11:H22">
    <cfRule type="cellIs" dxfId="39" priority="5" stopIfTrue="1" operator="lessThan">
      <formula>0</formula>
    </cfRule>
  </conditionalFormatting>
  <conditionalFormatting sqref="G28:H31 G33:H33">
    <cfRule type="cellIs" dxfId="38" priority="57" stopIfTrue="1" operator="lessThan">
      <formula>0</formula>
    </cfRule>
  </conditionalFormatting>
  <conditionalFormatting sqref="H4:H10 B83">
    <cfRule type="cellIs" dxfId="37" priority="210" stopIfTrue="1" operator="lessThan">
      <formula>0</formula>
    </cfRule>
  </conditionalFormatting>
  <conditionalFormatting sqref="H25:H27">
    <cfRule type="cellIs" dxfId="36" priority="4" stopIfTrue="1" operator="lessThan">
      <formula>0</formula>
    </cfRule>
  </conditionalFormatting>
  <conditionalFormatting sqref="H34:H40 G41:H47 H48:H110 C99:D100">
    <cfRule type="cellIs" dxfId="35" priority="63" stopIfTrue="1" operator="lessThan">
      <formula>0</formula>
    </cfRule>
  </conditionalFormatting>
  <dataValidations count="1">
    <dataValidation type="list" allowBlank="1" showInputMessage="1" showErrorMessage="1" sqref="D3 D6 D8:D9 D11:D14 D17:D22 D24:D28 D31:D59 D61:D11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5"/>
  <sheetViews>
    <sheetView showGridLines="0" zoomScaleNormal="100" workbookViewId="0">
      <pane ySplit="2" topLeftCell="A104" activePane="bottomLeft" state="frozen"/>
      <selection pane="bottomLeft" activeCell="B126" sqref="B126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8" t="s">
        <v>2</v>
      </c>
      <c r="C1" s="87"/>
      <c r="D1" s="87"/>
      <c r="E1" s="89"/>
      <c r="F1" s="87"/>
      <c r="G1" s="87"/>
      <c r="H1" s="87"/>
      <c r="I1" s="87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46104</v>
      </c>
      <c r="C41" s="48">
        <v>37</v>
      </c>
      <c r="D41" s="3" t="s">
        <v>82</v>
      </c>
      <c r="E41" s="3" t="s">
        <v>13</v>
      </c>
      <c r="F41" s="19"/>
      <c r="G41" s="20">
        <v>-105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46106</v>
      </c>
      <c r="C42" s="48">
        <v>38</v>
      </c>
      <c r="D42" s="81" t="s">
        <v>55</v>
      </c>
      <c r="E42" s="82" t="s">
        <v>21</v>
      </c>
      <c r="F42" s="19"/>
      <c r="G42" s="20">
        <v>-4.99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46106</v>
      </c>
      <c r="C43" s="48">
        <v>39</v>
      </c>
      <c r="D43" s="3" t="s">
        <v>83</v>
      </c>
      <c r="E43" s="3" t="s">
        <v>13</v>
      </c>
      <c r="F43" s="19"/>
      <c r="G43" s="20">
        <v>-15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46106</v>
      </c>
      <c r="C44" s="48">
        <v>40</v>
      </c>
      <c r="D44" s="3" t="s">
        <v>84</v>
      </c>
      <c r="E44" s="3" t="s">
        <v>0</v>
      </c>
      <c r="F44" s="19"/>
      <c r="G44" s="20">
        <v>-56.83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46108</v>
      </c>
      <c r="C45" s="48">
        <v>41</v>
      </c>
      <c r="D45" s="3" t="s">
        <v>88</v>
      </c>
      <c r="E45" s="3" t="s">
        <v>13</v>
      </c>
      <c r="F45" s="19"/>
      <c r="G45" s="20">
        <v>-153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46108</v>
      </c>
      <c r="C46" s="48">
        <v>42</v>
      </c>
      <c r="D46" s="83" t="s">
        <v>89</v>
      </c>
      <c r="E46" s="3" t="s">
        <v>13</v>
      </c>
      <c r="F46" s="19"/>
      <c r="G46" s="20"/>
      <c r="H46" s="20"/>
      <c r="I46" s="20">
        <v>0</v>
      </c>
      <c r="J46" s="4"/>
      <c r="K46" s="2"/>
      <c r="L46" s="2"/>
    </row>
    <row r="47" spans="1:12" ht="15" customHeight="1" x14ac:dyDescent="0.3">
      <c r="A47" s="41"/>
      <c r="B47" s="14">
        <v>46111</v>
      </c>
      <c r="C47" s="48">
        <v>43</v>
      </c>
      <c r="D47" s="3" t="s">
        <v>90</v>
      </c>
      <c r="E47" s="3" t="s">
        <v>0</v>
      </c>
      <c r="F47" s="19"/>
      <c r="G47" s="20">
        <v>-9.77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46111</v>
      </c>
      <c r="C48" s="48">
        <v>44</v>
      </c>
      <c r="D48" s="81" t="s">
        <v>91</v>
      </c>
      <c r="E48" s="3" t="s">
        <v>0</v>
      </c>
      <c r="F48" s="19"/>
      <c r="G48" s="20">
        <v>-108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46111</v>
      </c>
      <c r="C49" s="48">
        <v>45</v>
      </c>
      <c r="D49" s="81" t="s">
        <v>92</v>
      </c>
      <c r="E49" s="3" t="s">
        <v>0</v>
      </c>
      <c r="F49" s="19"/>
      <c r="G49" s="20">
        <v>-48.94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46111</v>
      </c>
      <c r="C50" s="48">
        <v>46</v>
      </c>
      <c r="D50" s="81" t="s">
        <v>93</v>
      </c>
      <c r="E50" s="3" t="s">
        <v>0</v>
      </c>
      <c r="F50" s="19"/>
      <c r="G50" s="20">
        <v>-78.349999999999994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46111</v>
      </c>
      <c r="C51" s="48">
        <v>47</v>
      </c>
      <c r="D51" s="81" t="s">
        <v>94</v>
      </c>
      <c r="E51" s="3" t="s">
        <v>0</v>
      </c>
      <c r="F51" s="19"/>
      <c r="G51" s="20">
        <v>-70.680000000000007</v>
      </c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46111</v>
      </c>
      <c r="C52" s="48">
        <v>48</v>
      </c>
      <c r="D52" s="81" t="s">
        <v>95</v>
      </c>
      <c r="E52" s="3" t="s">
        <v>0</v>
      </c>
      <c r="F52" s="19"/>
      <c r="G52" s="20">
        <v>-246.8</v>
      </c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46111</v>
      </c>
      <c r="C53" s="48">
        <v>49</v>
      </c>
      <c r="D53" s="3" t="s">
        <v>46</v>
      </c>
      <c r="E53" s="3" t="s">
        <v>0</v>
      </c>
      <c r="F53" s="19"/>
      <c r="G53" s="20">
        <v>-9.64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46111</v>
      </c>
      <c r="C54" s="48">
        <v>50</v>
      </c>
      <c r="D54" s="37" t="s">
        <v>96</v>
      </c>
      <c r="E54" s="3" t="s">
        <v>13</v>
      </c>
      <c r="F54" s="19"/>
      <c r="G54" s="20">
        <v>-25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46112</v>
      </c>
      <c r="C55" s="48">
        <v>51</v>
      </c>
      <c r="D55" s="3" t="s">
        <v>79</v>
      </c>
      <c r="E55" s="3" t="s">
        <v>13</v>
      </c>
      <c r="F55" s="19"/>
      <c r="G55" s="20"/>
      <c r="H55" s="20"/>
      <c r="I55" s="20">
        <v>-2.5</v>
      </c>
      <c r="J55" s="4"/>
      <c r="K55" s="2"/>
      <c r="L55" s="2"/>
    </row>
    <row r="56" spans="1:12" ht="15" customHeight="1" x14ac:dyDescent="0.3">
      <c r="A56" s="41"/>
      <c r="B56" s="14">
        <v>46113</v>
      </c>
      <c r="C56" s="48">
        <v>52</v>
      </c>
      <c r="D56" s="81" t="s">
        <v>20</v>
      </c>
      <c r="E56" s="2" t="s">
        <v>20</v>
      </c>
      <c r="F56" s="19"/>
      <c r="G56" s="20">
        <v>-12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46113</v>
      </c>
      <c r="C57" s="48">
        <v>53</v>
      </c>
      <c r="D57" s="3" t="s">
        <v>97</v>
      </c>
      <c r="E57" s="3" t="s">
        <v>0</v>
      </c>
      <c r="F57" s="19"/>
      <c r="G57" s="20">
        <v>-22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46114</v>
      </c>
      <c r="C58" s="48">
        <v>54</v>
      </c>
      <c r="D58" s="81" t="s">
        <v>51</v>
      </c>
      <c r="E58" s="82" t="s">
        <v>21</v>
      </c>
      <c r="F58" s="19"/>
      <c r="G58" s="20">
        <v>-47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46114</v>
      </c>
      <c r="C59" s="48">
        <v>55</v>
      </c>
      <c r="D59" s="81" t="s">
        <v>51</v>
      </c>
      <c r="E59" s="82" t="s">
        <v>21</v>
      </c>
      <c r="F59" s="19"/>
      <c r="G59" s="20">
        <v>-89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46119</v>
      </c>
      <c r="C60" s="48">
        <v>56</v>
      </c>
      <c r="D60" s="3" t="s">
        <v>98</v>
      </c>
      <c r="E60" s="3" t="s">
        <v>0</v>
      </c>
      <c r="F60" s="19"/>
      <c r="G60" s="20">
        <v>-11.47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46127</v>
      </c>
      <c r="C61" s="48">
        <v>57</v>
      </c>
      <c r="D61" s="3" t="s">
        <v>52</v>
      </c>
      <c r="E61" s="82" t="s">
        <v>21</v>
      </c>
      <c r="F61" s="19"/>
      <c r="G61" s="20">
        <v>-18.36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46132</v>
      </c>
      <c r="C62" s="48">
        <v>58</v>
      </c>
      <c r="D62" s="3" t="s">
        <v>46</v>
      </c>
      <c r="E62" s="3" t="s">
        <v>0</v>
      </c>
      <c r="F62" s="19"/>
      <c r="G62" s="20">
        <v>-19.45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46139</v>
      </c>
      <c r="C63" s="48">
        <v>59</v>
      </c>
      <c r="D63" s="3" t="s">
        <v>106</v>
      </c>
      <c r="E63" s="3" t="s">
        <v>0</v>
      </c>
      <c r="F63" s="19"/>
      <c r="G63" s="20">
        <v>-19.600000000000001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46139</v>
      </c>
      <c r="C64" s="48">
        <v>60</v>
      </c>
      <c r="D64" s="81" t="s">
        <v>55</v>
      </c>
      <c r="E64" s="82" t="s">
        <v>21</v>
      </c>
      <c r="F64" s="19"/>
      <c r="G64" s="20">
        <v>-4.99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46142</v>
      </c>
      <c r="C65" s="48">
        <v>61</v>
      </c>
      <c r="D65" s="3" t="s">
        <v>103</v>
      </c>
      <c r="E65" s="3" t="s">
        <v>13</v>
      </c>
      <c r="F65" s="19"/>
      <c r="G65" s="20"/>
      <c r="H65" s="20"/>
      <c r="I65" s="20">
        <v>-7.5</v>
      </c>
      <c r="J65" s="4"/>
      <c r="K65" s="2"/>
      <c r="L65" s="2"/>
    </row>
    <row r="66" spans="1:12" ht="15" customHeight="1" x14ac:dyDescent="0.3">
      <c r="A66" s="41"/>
      <c r="B66" s="14">
        <v>46147</v>
      </c>
      <c r="C66" s="48">
        <v>62</v>
      </c>
      <c r="D66" s="3" t="s">
        <v>51</v>
      </c>
      <c r="E66" s="82" t="s">
        <v>21</v>
      </c>
      <c r="F66" s="19"/>
      <c r="G66" s="20">
        <v>-47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46147</v>
      </c>
      <c r="C67" s="48">
        <v>63</v>
      </c>
      <c r="D67" s="3" t="s">
        <v>51</v>
      </c>
      <c r="E67" s="82" t="s">
        <v>21</v>
      </c>
      <c r="F67" s="19"/>
      <c r="G67" s="20">
        <v>-89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46147</v>
      </c>
      <c r="C68" s="48">
        <v>64</v>
      </c>
      <c r="D68" s="3" t="s">
        <v>20</v>
      </c>
      <c r="E68" s="82" t="s">
        <v>21</v>
      </c>
      <c r="F68" s="16"/>
      <c r="G68" s="20">
        <v>-12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46148</v>
      </c>
      <c r="C69" s="48">
        <v>65</v>
      </c>
      <c r="D69" s="3" t="s">
        <v>109</v>
      </c>
      <c r="E69" s="2" t="s">
        <v>14</v>
      </c>
      <c r="F69" s="16"/>
      <c r="G69" s="20">
        <v>-83.39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46148</v>
      </c>
      <c r="C70" s="48">
        <v>66</v>
      </c>
      <c r="D70" s="3" t="s">
        <v>109</v>
      </c>
      <c r="E70" s="3" t="s">
        <v>0</v>
      </c>
      <c r="F70" s="19"/>
      <c r="G70" s="19">
        <v>-5.99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46150</v>
      </c>
      <c r="C71" s="48">
        <v>67</v>
      </c>
      <c r="D71" s="81" t="s">
        <v>46</v>
      </c>
      <c r="E71" s="3" t="s">
        <v>0</v>
      </c>
      <c r="F71" s="19"/>
      <c r="G71" s="20">
        <v>-7.64</v>
      </c>
      <c r="H71" s="20"/>
      <c r="I71" s="20"/>
      <c r="J71" s="4"/>
      <c r="K71" s="2"/>
      <c r="L71" s="2"/>
    </row>
    <row r="72" spans="1:12" ht="15" customHeight="1" x14ac:dyDescent="0.3">
      <c r="A72" s="41"/>
      <c r="B72" s="14">
        <v>46157</v>
      </c>
      <c r="C72" s="48">
        <v>68</v>
      </c>
      <c r="D72" s="81" t="s">
        <v>110</v>
      </c>
      <c r="E72" s="82" t="s">
        <v>21</v>
      </c>
      <c r="F72" s="19"/>
      <c r="G72" s="20">
        <v>-17.21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46160</v>
      </c>
      <c r="C73" s="48">
        <v>69</v>
      </c>
      <c r="D73" s="81" t="s">
        <v>83</v>
      </c>
      <c r="E73" s="3" t="s">
        <v>13</v>
      </c>
      <c r="F73" s="19"/>
      <c r="G73" s="20">
        <v>-160.59</v>
      </c>
      <c r="H73" s="19"/>
      <c r="I73" s="20"/>
      <c r="J73" s="4"/>
      <c r="K73" s="2"/>
      <c r="L73" s="2"/>
    </row>
    <row r="74" spans="1:12" ht="15" customHeight="1" x14ac:dyDescent="0.3">
      <c r="A74" s="41"/>
      <c r="B74" s="14">
        <v>46161</v>
      </c>
      <c r="C74" s="48">
        <v>70</v>
      </c>
      <c r="D74" s="3" t="s">
        <v>46</v>
      </c>
      <c r="E74" s="3" t="s">
        <v>0</v>
      </c>
      <c r="F74" s="19"/>
      <c r="G74" s="20">
        <v>-3.4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46161</v>
      </c>
      <c r="C75" s="48">
        <v>71</v>
      </c>
      <c r="D75" s="3" t="s">
        <v>69</v>
      </c>
      <c r="E75" s="3" t="s">
        <v>13</v>
      </c>
      <c r="F75" s="19"/>
      <c r="G75" s="20"/>
      <c r="H75" s="20"/>
      <c r="I75" s="20">
        <v>-10.5</v>
      </c>
      <c r="J75" s="4"/>
      <c r="K75" s="2"/>
      <c r="L75" s="2"/>
    </row>
    <row r="76" spans="1:12" ht="15" customHeight="1" x14ac:dyDescent="0.3">
      <c r="A76" s="41"/>
      <c r="B76" s="14">
        <v>46168</v>
      </c>
      <c r="C76" s="48">
        <v>72</v>
      </c>
      <c r="D76" s="81" t="s">
        <v>55</v>
      </c>
      <c r="E76" s="82" t="s">
        <v>21</v>
      </c>
      <c r="F76" s="19"/>
      <c r="G76" s="20">
        <v>-4.99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46174</v>
      </c>
      <c r="C77" s="48">
        <v>73</v>
      </c>
      <c r="D77" s="3" t="s">
        <v>20</v>
      </c>
      <c r="E77" s="82" t="s">
        <v>21</v>
      </c>
      <c r="F77" s="16"/>
      <c r="G77" s="20">
        <v>-12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46175</v>
      </c>
      <c r="C78" s="48">
        <v>74</v>
      </c>
      <c r="D78" s="3" t="s">
        <v>51</v>
      </c>
      <c r="E78" s="82" t="s">
        <v>21</v>
      </c>
      <c r="F78" s="19"/>
      <c r="G78" s="20">
        <v>-47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46175</v>
      </c>
      <c r="C79" s="48">
        <v>75</v>
      </c>
      <c r="D79" s="3" t="s">
        <v>51</v>
      </c>
      <c r="E79" s="82" t="s">
        <v>21</v>
      </c>
      <c r="F79" s="19"/>
      <c r="G79" s="20">
        <v>-89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46184</v>
      </c>
      <c r="C80" s="48">
        <v>76</v>
      </c>
      <c r="D80" s="3" t="s">
        <v>121</v>
      </c>
      <c r="E80" s="82" t="s">
        <v>12</v>
      </c>
      <c r="F80" s="19"/>
      <c r="G80" s="20">
        <v>-300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46184</v>
      </c>
      <c r="C81" s="48">
        <v>77</v>
      </c>
      <c r="D81" s="3" t="s">
        <v>122</v>
      </c>
      <c r="E81" s="82" t="s">
        <v>12</v>
      </c>
      <c r="F81" s="19"/>
      <c r="G81" s="20">
        <v>-120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46184</v>
      </c>
      <c r="C82" s="48">
        <v>78</v>
      </c>
      <c r="D82" s="3" t="s">
        <v>46</v>
      </c>
      <c r="E82" s="3" t="s">
        <v>0</v>
      </c>
      <c r="F82" s="19"/>
      <c r="G82" s="20">
        <v>-9.3699999999999992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46188</v>
      </c>
      <c r="C83" s="48">
        <v>79</v>
      </c>
      <c r="D83" s="3" t="s">
        <v>46</v>
      </c>
      <c r="E83" s="3" t="s">
        <v>0</v>
      </c>
      <c r="F83" s="19"/>
      <c r="G83" s="20">
        <v>-12.95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46197</v>
      </c>
      <c r="C84" s="48">
        <v>80</v>
      </c>
      <c r="D84" s="3" t="s">
        <v>46</v>
      </c>
      <c r="E84" s="3" t="s">
        <v>0</v>
      </c>
      <c r="F84" s="19"/>
      <c r="G84" s="20">
        <v>-20.99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46198</v>
      </c>
      <c r="C85" s="48" t="s">
        <v>124</v>
      </c>
      <c r="D85" s="81" t="s">
        <v>55</v>
      </c>
      <c r="E85" s="82" t="s">
        <v>21</v>
      </c>
      <c r="F85" s="19"/>
      <c r="G85" s="20">
        <v>-4.99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46199</v>
      </c>
      <c r="C86" s="48">
        <v>81</v>
      </c>
      <c r="D86" s="3" t="s">
        <v>123</v>
      </c>
      <c r="E86" s="3" t="s">
        <v>0</v>
      </c>
      <c r="F86" s="19"/>
      <c r="G86" s="20">
        <v>-22.94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46204</v>
      </c>
      <c r="C87" s="48">
        <v>82</v>
      </c>
      <c r="D87" s="3" t="s">
        <v>20</v>
      </c>
      <c r="E87" s="82" t="s">
        <v>21</v>
      </c>
      <c r="F87" s="16"/>
      <c r="G87" s="20">
        <v>-12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46205</v>
      </c>
      <c r="C88" s="48">
        <v>83</v>
      </c>
      <c r="D88" s="3" t="s">
        <v>51</v>
      </c>
      <c r="E88" s="82" t="s">
        <v>21</v>
      </c>
      <c r="F88" s="19"/>
      <c r="G88" s="20">
        <v>-47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46205</v>
      </c>
      <c r="C89" s="48">
        <v>84</v>
      </c>
      <c r="D89" s="3" t="s">
        <v>51</v>
      </c>
      <c r="E89" s="82" t="s">
        <v>21</v>
      </c>
      <c r="F89" s="19"/>
      <c r="G89" s="20">
        <v>-89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46211</v>
      </c>
      <c r="C90" s="48">
        <v>85</v>
      </c>
      <c r="D90" s="3" t="s">
        <v>46</v>
      </c>
      <c r="E90" s="3" t="s">
        <v>0</v>
      </c>
      <c r="F90" s="19"/>
      <c r="G90" s="20">
        <v>-16.940000000000001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46214</v>
      </c>
      <c r="C91" s="48">
        <v>86</v>
      </c>
      <c r="D91" s="3" t="s">
        <v>130</v>
      </c>
      <c r="E91" s="3" t="s">
        <v>0</v>
      </c>
      <c r="F91" s="19"/>
      <c r="G91" s="20"/>
      <c r="H91" s="20"/>
      <c r="I91" s="20">
        <v>-190.09</v>
      </c>
      <c r="J91" s="4"/>
      <c r="K91" s="2"/>
      <c r="L91" s="2"/>
    </row>
    <row r="92" spans="1:12" ht="15" customHeight="1" x14ac:dyDescent="0.3">
      <c r="A92" s="41"/>
      <c r="B92" s="14">
        <v>46214</v>
      </c>
      <c r="C92" s="48">
        <v>87</v>
      </c>
      <c r="D92" s="3" t="s">
        <v>130</v>
      </c>
      <c r="E92" s="3" t="s">
        <v>0</v>
      </c>
      <c r="F92" s="19"/>
      <c r="G92" s="20"/>
      <c r="H92" s="20"/>
      <c r="I92" s="20">
        <v>-189.85</v>
      </c>
      <c r="J92" s="4"/>
      <c r="K92" s="2"/>
      <c r="L92" s="2"/>
    </row>
    <row r="93" spans="1:12" ht="15" customHeight="1" x14ac:dyDescent="0.3">
      <c r="A93" s="41"/>
      <c r="B93" s="14">
        <v>46216</v>
      </c>
      <c r="C93" s="48">
        <v>88</v>
      </c>
      <c r="D93" s="3" t="s">
        <v>46</v>
      </c>
      <c r="E93" s="3" t="s">
        <v>0</v>
      </c>
      <c r="F93" s="19"/>
      <c r="G93" s="20">
        <v>-10.98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46222</v>
      </c>
      <c r="C94" s="48">
        <v>89</v>
      </c>
      <c r="D94" s="3" t="s">
        <v>131</v>
      </c>
      <c r="E94" s="3" t="s">
        <v>0</v>
      </c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46222</v>
      </c>
      <c r="C95" s="48">
        <v>90</v>
      </c>
      <c r="D95" s="3" t="s">
        <v>131</v>
      </c>
      <c r="E95" s="3" t="s">
        <v>0</v>
      </c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46217</v>
      </c>
      <c r="C96" s="48">
        <v>91</v>
      </c>
      <c r="D96" s="81" t="s">
        <v>132</v>
      </c>
      <c r="E96" s="3" t="s">
        <v>0</v>
      </c>
      <c r="F96" s="19"/>
      <c r="G96" s="20">
        <v>-102.67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46218</v>
      </c>
      <c r="C97" s="48">
        <v>92</v>
      </c>
      <c r="D97" s="85" t="s">
        <v>52</v>
      </c>
      <c r="E97" s="3" t="s">
        <v>21</v>
      </c>
      <c r="F97" s="19"/>
      <c r="G97" s="20">
        <v>-18.36</v>
      </c>
      <c r="H97" s="20"/>
      <c r="J97" s="4"/>
      <c r="K97" s="2"/>
      <c r="L97" s="2"/>
    </row>
    <row r="98" spans="1:246" ht="15" customHeight="1" x14ac:dyDescent="0.3">
      <c r="A98" s="41"/>
      <c r="B98" s="14">
        <v>46219</v>
      </c>
      <c r="C98" s="48">
        <v>93</v>
      </c>
      <c r="D98" s="3" t="s">
        <v>133</v>
      </c>
      <c r="E98" s="3" t="s">
        <v>0</v>
      </c>
      <c r="F98" s="19"/>
      <c r="G98" s="20"/>
      <c r="H98" s="20"/>
      <c r="I98" s="20">
        <v>-21.52</v>
      </c>
      <c r="J98" s="4"/>
      <c r="K98" s="2"/>
      <c r="L98" s="2"/>
    </row>
    <row r="99" spans="1:246" ht="15" customHeight="1" x14ac:dyDescent="0.3">
      <c r="A99" s="41"/>
      <c r="B99" s="14">
        <v>46219</v>
      </c>
      <c r="C99" s="48">
        <v>94</v>
      </c>
      <c r="D99" s="3" t="s">
        <v>134</v>
      </c>
      <c r="E99" s="3" t="s">
        <v>0</v>
      </c>
      <c r="F99" s="16"/>
      <c r="G99" s="20"/>
      <c r="H99" s="20"/>
      <c r="I99" s="20">
        <v>-30</v>
      </c>
      <c r="J99" s="4"/>
      <c r="K99" s="2"/>
      <c r="L99" s="2"/>
    </row>
    <row r="100" spans="1:246" ht="15" customHeight="1" x14ac:dyDescent="0.3">
      <c r="A100" s="41"/>
      <c r="B100" s="14">
        <v>46223</v>
      </c>
      <c r="C100" s="48">
        <v>95</v>
      </c>
      <c r="D100" s="3" t="s">
        <v>135</v>
      </c>
      <c r="E100" s="3" t="s">
        <v>0</v>
      </c>
      <c r="F100" s="16"/>
      <c r="G100" s="20"/>
      <c r="H100" s="20"/>
      <c r="I100" s="20">
        <v>-219.7</v>
      </c>
      <c r="J100" s="4"/>
      <c r="K100" s="2"/>
      <c r="L100" s="2"/>
    </row>
    <row r="101" spans="1:246" ht="15" customHeight="1" x14ac:dyDescent="0.3">
      <c r="A101" s="41"/>
      <c r="B101" s="14">
        <v>46223</v>
      </c>
      <c r="C101" s="48">
        <v>96</v>
      </c>
      <c r="D101" s="3" t="s">
        <v>136</v>
      </c>
      <c r="E101" s="3" t="s">
        <v>0</v>
      </c>
      <c r="F101" s="19"/>
      <c r="G101" s="20"/>
      <c r="H101" s="20"/>
      <c r="I101" s="20">
        <v>-55.35</v>
      </c>
      <c r="J101" s="4"/>
      <c r="K101" s="2"/>
      <c r="L101" s="2"/>
    </row>
    <row r="102" spans="1:246" ht="15" customHeight="1" x14ac:dyDescent="0.3">
      <c r="A102" s="41"/>
      <c r="B102" s="14">
        <v>46223</v>
      </c>
      <c r="C102" s="48">
        <v>97</v>
      </c>
      <c r="D102" s="3" t="s">
        <v>137</v>
      </c>
      <c r="E102" s="3" t="s">
        <v>0</v>
      </c>
      <c r="F102" s="19"/>
      <c r="G102" s="20"/>
      <c r="H102" s="20"/>
      <c r="I102" s="20">
        <v>-140.94</v>
      </c>
      <c r="J102" s="4"/>
      <c r="K102" s="2"/>
      <c r="L102" s="2"/>
    </row>
    <row r="103" spans="1:246" ht="15" customHeight="1" x14ac:dyDescent="0.3">
      <c r="A103" s="41"/>
      <c r="B103" s="14">
        <v>46224</v>
      </c>
      <c r="C103" s="48">
        <v>98</v>
      </c>
      <c r="D103" s="3" t="s">
        <v>142</v>
      </c>
      <c r="E103" s="3" t="s">
        <v>0</v>
      </c>
      <c r="F103" s="19"/>
      <c r="G103" s="20"/>
      <c r="H103" s="20"/>
      <c r="I103" s="20">
        <v>-11</v>
      </c>
      <c r="J103" s="4"/>
      <c r="K103" s="2"/>
      <c r="L103" s="2"/>
      <c r="IK103"/>
      <c r="IL103"/>
    </row>
    <row r="104" spans="1:246" ht="15" customHeight="1" x14ac:dyDescent="0.3">
      <c r="A104" s="41"/>
      <c r="B104" s="14">
        <v>46224</v>
      </c>
      <c r="C104" s="48">
        <v>99</v>
      </c>
      <c r="D104" s="81" t="s">
        <v>143</v>
      </c>
      <c r="E104" s="3" t="s">
        <v>0</v>
      </c>
      <c r="F104" s="19"/>
      <c r="G104" s="20"/>
      <c r="H104" s="20"/>
      <c r="I104" s="20">
        <v>-28.51</v>
      </c>
      <c r="J104" s="4"/>
      <c r="K104" s="2"/>
      <c r="L104" s="2"/>
    </row>
    <row r="105" spans="1:246" ht="15" customHeight="1" x14ac:dyDescent="0.3">
      <c r="A105" s="41"/>
      <c r="B105" s="14">
        <v>46224</v>
      </c>
      <c r="C105" s="48">
        <v>100</v>
      </c>
      <c r="D105" s="3" t="s">
        <v>46</v>
      </c>
      <c r="E105" s="3" t="s">
        <v>0</v>
      </c>
      <c r="F105" s="19"/>
      <c r="G105" s="20"/>
      <c r="H105" s="20"/>
      <c r="I105" s="20">
        <v>-22.13</v>
      </c>
      <c r="J105" s="4"/>
      <c r="K105" s="2"/>
      <c r="L105" s="2"/>
    </row>
    <row r="106" spans="1:246" ht="15" customHeight="1" x14ac:dyDescent="0.3">
      <c r="A106" s="41"/>
      <c r="B106" s="14">
        <v>46224</v>
      </c>
      <c r="C106" s="48">
        <v>101</v>
      </c>
      <c r="D106" s="3" t="s">
        <v>144</v>
      </c>
      <c r="E106" s="3" t="s">
        <v>0</v>
      </c>
      <c r="F106" s="19"/>
      <c r="G106" s="20"/>
      <c r="H106" s="20"/>
      <c r="I106" s="20">
        <v>-411.28</v>
      </c>
      <c r="J106" s="4"/>
      <c r="K106" s="2"/>
      <c r="L106" s="2"/>
    </row>
    <row r="107" spans="1:246" ht="15" customHeight="1" x14ac:dyDescent="0.3">
      <c r="A107" s="41"/>
      <c r="B107" s="14">
        <v>46225</v>
      </c>
      <c r="C107" s="48">
        <v>102</v>
      </c>
      <c r="D107" s="81" t="s">
        <v>46</v>
      </c>
      <c r="E107" s="3" t="s">
        <v>0</v>
      </c>
      <c r="F107" s="19"/>
      <c r="G107" s="20"/>
      <c r="H107" s="20"/>
      <c r="I107" s="20">
        <v>-11.27</v>
      </c>
      <c r="J107" s="4"/>
      <c r="K107" s="2"/>
      <c r="L107" s="2"/>
    </row>
    <row r="108" spans="1:246" ht="15" customHeight="1" x14ac:dyDescent="0.3">
      <c r="A108" s="41"/>
      <c r="B108" s="14">
        <v>46227</v>
      </c>
      <c r="C108" s="48">
        <v>103</v>
      </c>
      <c r="D108" s="3" t="s">
        <v>146</v>
      </c>
      <c r="E108" s="3" t="s">
        <v>0</v>
      </c>
      <c r="F108" s="19"/>
      <c r="G108" s="20"/>
      <c r="H108" s="20"/>
      <c r="I108" s="20">
        <v>-32.53</v>
      </c>
      <c r="J108" s="4"/>
      <c r="K108" s="2"/>
      <c r="L108" s="2"/>
    </row>
    <row r="109" spans="1:246" ht="15" customHeight="1" x14ac:dyDescent="0.3">
      <c r="A109" s="41"/>
      <c r="B109" s="14">
        <v>46230</v>
      </c>
      <c r="C109" s="48">
        <v>104</v>
      </c>
      <c r="D109" s="81" t="s">
        <v>55</v>
      </c>
      <c r="E109" s="82" t="s">
        <v>21</v>
      </c>
      <c r="F109" s="19"/>
      <c r="G109" s="20">
        <v>-4.99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46234</v>
      </c>
      <c r="C110" s="48">
        <v>105</v>
      </c>
      <c r="D110" s="3" t="s">
        <v>148</v>
      </c>
      <c r="E110" s="82" t="s">
        <v>21</v>
      </c>
      <c r="F110" s="19"/>
      <c r="G110" s="20"/>
      <c r="H110" s="20"/>
      <c r="I110" s="20">
        <v>-2.5</v>
      </c>
      <c r="J110" s="4"/>
      <c r="K110" s="2"/>
      <c r="L110" s="2"/>
    </row>
    <row r="111" spans="1:246" ht="15" customHeight="1" x14ac:dyDescent="0.3">
      <c r="A111" s="41"/>
      <c r="B111" s="14">
        <v>46237</v>
      </c>
      <c r="C111" s="48">
        <v>106</v>
      </c>
      <c r="D111" s="3" t="s">
        <v>149</v>
      </c>
      <c r="E111" s="3" t="s">
        <v>0</v>
      </c>
      <c r="F111" s="19"/>
      <c r="G111" s="20"/>
      <c r="H111" s="20"/>
      <c r="I111" s="20">
        <v>-96.63</v>
      </c>
      <c r="J111" s="4"/>
      <c r="K111" s="2"/>
      <c r="L111" s="2"/>
    </row>
    <row r="112" spans="1:246" ht="15" customHeight="1" x14ac:dyDescent="0.3">
      <c r="A112" s="41"/>
      <c r="B112" s="14">
        <v>46237</v>
      </c>
      <c r="C112" s="48">
        <v>107</v>
      </c>
      <c r="D112" s="3" t="s">
        <v>20</v>
      </c>
      <c r="E112" s="82" t="s">
        <v>21</v>
      </c>
      <c r="F112" s="16"/>
      <c r="G112" s="20">
        <v>-12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46238</v>
      </c>
      <c r="C113" s="48">
        <v>108</v>
      </c>
      <c r="D113" s="3" t="s">
        <v>51</v>
      </c>
      <c r="E113" s="82" t="s">
        <v>21</v>
      </c>
      <c r="F113" s="19"/>
      <c r="G113" s="20">
        <v>-47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46238</v>
      </c>
      <c r="C114" s="48">
        <v>109</v>
      </c>
      <c r="D114" s="3" t="s">
        <v>51</v>
      </c>
      <c r="E114" s="82" t="s">
        <v>21</v>
      </c>
      <c r="F114" s="19"/>
      <c r="G114" s="20">
        <v>-89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46238</v>
      </c>
      <c r="C115" s="48">
        <v>110</v>
      </c>
      <c r="D115" s="3" t="s">
        <v>46</v>
      </c>
      <c r="E115" s="3" t="s">
        <v>0</v>
      </c>
      <c r="F115" s="19"/>
      <c r="G115" s="20">
        <v>-4.67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46246</v>
      </c>
      <c r="C116" s="48">
        <v>111</v>
      </c>
      <c r="D116" s="3" t="s">
        <v>156</v>
      </c>
      <c r="E116" s="82" t="s">
        <v>13</v>
      </c>
      <c r="F116" s="19"/>
      <c r="G116" s="20"/>
      <c r="H116" s="20"/>
      <c r="I116" s="20">
        <v>-15</v>
      </c>
      <c r="J116" s="4"/>
      <c r="K116" s="2"/>
      <c r="L116" s="2"/>
    </row>
    <row r="117" spans="1:12" ht="15" customHeight="1" x14ac:dyDescent="0.3">
      <c r="A117" s="41"/>
      <c r="B117" s="14">
        <v>46251</v>
      </c>
      <c r="C117" s="48">
        <v>112</v>
      </c>
      <c r="D117" s="3" t="s">
        <v>157</v>
      </c>
      <c r="E117" s="3" t="s">
        <v>0</v>
      </c>
      <c r="F117" s="16"/>
      <c r="G117" s="20"/>
      <c r="H117" s="20"/>
      <c r="I117" s="20">
        <v>-180</v>
      </c>
      <c r="J117" s="4"/>
      <c r="K117" s="2"/>
      <c r="L117" s="2"/>
    </row>
    <row r="118" spans="1:12" ht="15" customHeight="1" x14ac:dyDescent="0.3">
      <c r="A118" s="41"/>
      <c r="B118" s="14">
        <v>46252</v>
      </c>
      <c r="C118" s="48">
        <v>113</v>
      </c>
      <c r="D118" s="3" t="s">
        <v>69</v>
      </c>
      <c r="E118" s="3" t="s">
        <v>13</v>
      </c>
      <c r="F118" s="19"/>
      <c r="G118" s="20"/>
      <c r="H118" s="20"/>
      <c r="I118" s="20">
        <v>-10.5</v>
      </c>
      <c r="J118" s="4"/>
      <c r="K118" s="2"/>
      <c r="L118" s="2"/>
    </row>
    <row r="119" spans="1:12" ht="15" customHeight="1" x14ac:dyDescent="0.3">
      <c r="A119" s="41"/>
      <c r="B119" s="14">
        <v>46252</v>
      </c>
      <c r="C119" s="48">
        <v>114</v>
      </c>
      <c r="D119" s="3" t="s">
        <v>46</v>
      </c>
      <c r="E119" s="3" t="s">
        <v>0</v>
      </c>
      <c r="F119" s="19"/>
      <c r="G119" s="20">
        <v>-4.95</v>
      </c>
      <c r="H119" s="20"/>
      <c r="I119" s="20"/>
      <c r="J119" s="4"/>
      <c r="K119" s="2"/>
      <c r="L119" s="2"/>
    </row>
    <row r="120" spans="1:12" ht="15" customHeight="1" x14ac:dyDescent="0.3">
      <c r="A120" s="41"/>
      <c r="B120" s="14">
        <v>46253</v>
      </c>
      <c r="C120" s="48">
        <v>115</v>
      </c>
      <c r="D120" s="3" t="s">
        <v>46</v>
      </c>
      <c r="E120" s="3" t="s">
        <v>0</v>
      </c>
      <c r="F120" s="19"/>
      <c r="G120" s="20">
        <v>-5.49</v>
      </c>
      <c r="H120" s="20"/>
      <c r="I120" s="20"/>
      <c r="J120" s="4"/>
      <c r="K120" s="2"/>
      <c r="L120" s="2"/>
    </row>
    <row r="121" spans="1:12" ht="15" customHeight="1" x14ac:dyDescent="0.3">
      <c r="A121" s="41"/>
      <c r="B121" s="14">
        <v>46258</v>
      </c>
      <c r="C121" s="48">
        <v>116</v>
      </c>
      <c r="D121" s="3" t="s">
        <v>46</v>
      </c>
      <c r="E121" s="3" t="s">
        <v>0</v>
      </c>
      <c r="F121" s="19"/>
      <c r="G121" s="20">
        <v>-18.62</v>
      </c>
      <c r="H121" s="20"/>
      <c r="I121" s="20"/>
      <c r="J121" s="4"/>
      <c r="K121" s="2"/>
      <c r="L121" s="2"/>
    </row>
    <row r="122" spans="1:12" ht="15" customHeight="1" x14ac:dyDescent="0.3">
      <c r="A122" s="41"/>
      <c r="B122" s="14">
        <v>46261</v>
      </c>
      <c r="C122" s="48">
        <v>117</v>
      </c>
      <c r="D122" s="81" t="s">
        <v>55</v>
      </c>
      <c r="E122" s="82" t="s">
        <v>21</v>
      </c>
      <c r="F122" s="19"/>
      <c r="G122" s="20">
        <v>-4.99</v>
      </c>
      <c r="H122" s="20"/>
      <c r="I122" s="20"/>
      <c r="J122" s="4"/>
      <c r="K122" s="2"/>
      <c r="L122" s="2"/>
    </row>
    <row r="123" spans="1:12" ht="15" customHeight="1" x14ac:dyDescent="0.3">
      <c r="A123" s="41"/>
      <c r="B123" s="14">
        <v>46267</v>
      </c>
      <c r="C123" s="48">
        <v>118</v>
      </c>
      <c r="D123" s="3" t="s">
        <v>51</v>
      </c>
      <c r="E123" s="82" t="s">
        <v>21</v>
      </c>
      <c r="F123" s="19"/>
      <c r="G123" s="20">
        <v>-47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46267</v>
      </c>
      <c r="C124" s="48">
        <v>119</v>
      </c>
      <c r="D124" s="3" t="s">
        <v>51</v>
      </c>
      <c r="E124" s="82" t="s">
        <v>21</v>
      </c>
      <c r="F124" s="19"/>
      <c r="G124" s="20">
        <v>-89</v>
      </c>
      <c r="H124" s="20"/>
      <c r="I124" s="20"/>
      <c r="J124" s="4"/>
      <c r="K124" s="2"/>
      <c r="L124" s="2"/>
    </row>
    <row r="125" spans="1:12" ht="15" customHeight="1" x14ac:dyDescent="0.3">
      <c r="A125" s="41"/>
      <c r="B125" s="14">
        <v>46268</v>
      </c>
      <c r="C125" s="48">
        <v>120</v>
      </c>
      <c r="D125" s="3" t="s">
        <v>20</v>
      </c>
      <c r="E125" s="82" t="s">
        <v>21</v>
      </c>
      <c r="F125" s="16"/>
      <c r="G125" s="20">
        <v>-12</v>
      </c>
      <c r="H125" s="20"/>
      <c r="I125" s="20"/>
      <c r="J125" s="4"/>
      <c r="K125" s="2"/>
      <c r="L125" s="2"/>
    </row>
    <row r="126" spans="1:12" ht="15" customHeight="1" x14ac:dyDescent="0.3">
      <c r="A126" s="41"/>
      <c r="B126" s="14">
        <v>46268</v>
      </c>
      <c r="C126" s="48">
        <v>121</v>
      </c>
      <c r="D126" s="81" t="s">
        <v>55</v>
      </c>
      <c r="E126" s="82" t="s">
        <v>21</v>
      </c>
      <c r="F126" s="19"/>
      <c r="G126" s="20">
        <v>-4.99</v>
      </c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122</v>
      </c>
      <c r="D127" s="81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123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124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125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126</v>
      </c>
      <c r="D131" s="3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127</v>
      </c>
      <c r="D132" s="81"/>
      <c r="E132" s="8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128</v>
      </c>
      <c r="D133" s="37"/>
      <c r="E133" s="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129</v>
      </c>
      <c r="D134" s="3"/>
      <c r="E134" s="82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130</v>
      </c>
      <c r="D135" s="3"/>
      <c r="E135" s="21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131</v>
      </c>
      <c r="D136" s="3"/>
      <c r="E136" s="82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132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133</v>
      </c>
      <c r="D138" s="3"/>
      <c r="E138" s="21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134</v>
      </c>
      <c r="D139" s="3"/>
      <c r="E139" s="82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135</v>
      </c>
      <c r="D140" s="3"/>
      <c r="E140" s="21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136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137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138</v>
      </c>
      <c r="D143" s="81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139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140</v>
      </c>
      <c r="D145" s="3"/>
      <c r="E145" s="8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141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142</v>
      </c>
      <c r="D148" s="3"/>
      <c r="E148" s="82"/>
      <c r="F148" s="19"/>
      <c r="G148" s="20"/>
      <c r="H148" s="20"/>
      <c r="I148" s="20"/>
      <c r="J148" s="4"/>
      <c r="K148" s="2"/>
      <c r="L148" s="2"/>
    </row>
    <row r="149" spans="1:12" ht="15" customHeight="1" x14ac:dyDescent="0.3">
      <c r="A149" s="41"/>
      <c r="B149" s="14"/>
      <c r="C149" s="48">
        <v>143</v>
      </c>
      <c r="D149" s="3"/>
      <c r="E149" s="21"/>
      <c r="F149" s="19"/>
      <c r="G149" s="20"/>
      <c r="H149" s="20"/>
      <c r="I149" s="20"/>
      <c r="J149" s="4"/>
      <c r="K149" s="2"/>
    </row>
    <row r="150" spans="1:12" ht="15" customHeight="1" x14ac:dyDescent="0.3">
      <c r="A150" s="41"/>
      <c r="B150" s="14"/>
      <c r="C150" s="48">
        <v>144</v>
      </c>
      <c r="D150" s="37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145</v>
      </c>
      <c r="D151" s="81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146</v>
      </c>
      <c r="D152" s="3"/>
      <c r="E152" s="82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147</v>
      </c>
      <c r="D153" s="3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148</v>
      </c>
      <c r="D155" s="37"/>
      <c r="E155" s="21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</v>
      </c>
      <c r="D156" s="3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149.69999999999999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151</v>
      </c>
      <c r="D158" s="81"/>
      <c r="E158" s="82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152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154.03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155.06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156.09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157.12</v>
      </c>
      <c r="D164" s="37"/>
      <c r="E164" s="21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158.15</v>
      </c>
      <c r="D165" s="37"/>
      <c r="E165" s="18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159.18</v>
      </c>
      <c r="D166" s="37"/>
      <c r="E166" s="21"/>
      <c r="F166" s="19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160.21</v>
      </c>
      <c r="D167" s="37"/>
      <c r="E167" s="21"/>
      <c r="F167" s="20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161.24</v>
      </c>
      <c r="D168" s="37"/>
      <c r="E168" s="21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162.27000000000001</v>
      </c>
      <c r="D169" s="3"/>
      <c r="E169" s="82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163.30000000000001</v>
      </c>
      <c r="D170" s="37"/>
      <c r="E170" s="21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164.33</v>
      </c>
      <c r="D171" s="37"/>
      <c r="E171" s="18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165.36</v>
      </c>
      <c r="D172" s="37"/>
      <c r="E172" s="21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166.39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167.42</v>
      </c>
      <c r="D174" s="15"/>
      <c r="E174" s="18"/>
      <c r="F174" s="19"/>
      <c r="G174" s="20"/>
      <c r="H174" s="20"/>
      <c r="I174" s="20"/>
      <c r="J174" s="4"/>
      <c r="K174" s="2"/>
      <c r="L174" s="2"/>
    </row>
    <row r="175" spans="1:12" ht="15" customHeight="1" x14ac:dyDescent="0.3">
      <c r="A175" s="41"/>
      <c r="B175" s="14"/>
      <c r="C175" s="48">
        <v>168.45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169.48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>
        <v>170.51</v>
      </c>
      <c r="D177" s="15"/>
      <c r="E177" s="18"/>
      <c r="F177" s="19"/>
      <c r="G177" s="20"/>
      <c r="H177" s="20"/>
      <c r="I177" s="20"/>
      <c r="J177" s="44"/>
      <c r="K177" s="2"/>
      <c r="L177" s="2"/>
    </row>
    <row r="178" spans="1:246" ht="15" customHeight="1" x14ac:dyDescent="0.3">
      <c r="A178" s="41"/>
      <c r="B178" s="14"/>
      <c r="C178" s="48"/>
      <c r="D178" s="37"/>
      <c r="E178" s="18"/>
      <c r="F178" s="19"/>
      <c r="G178" s="20"/>
      <c r="H178" s="20"/>
      <c r="I178" s="20"/>
      <c r="J178" s="44"/>
      <c r="K178" s="2"/>
      <c r="L178" s="2"/>
      <c r="IL178"/>
    </row>
    <row r="179" spans="1:246" ht="15" customHeight="1" x14ac:dyDescent="0.3">
      <c r="A179" s="42"/>
      <c r="B179" s="28" t="s">
        <v>15</v>
      </c>
      <c r="C179" s="49"/>
      <c r="D179" s="29"/>
      <c r="E179" s="30"/>
      <c r="F179" s="31">
        <f>SUM(F3:F178)</f>
        <v>0</v>
      </c>
      <c r="G179" s="32">
        <f>SUM(G3:G178)</f>
        <v>-5216.6299999999947</v>
      </c>
      <c r="H179" s="32">
        <f>SUM(H3:H178)</f>
        <v>0</v>
      </c>
      <c r="I179" s="32">
        <f>SUM(I3:I178)</f>
        <v>-4875.21</v>
      </c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2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  <c r="L241" s="2"/>
    </row>
    <row r="242" spans="1:12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  <c r="K242" s="2"/>
    </row>
    <row r="243" spans="1:12" ht="15" customHeight="1" x14ac:dyDescent="0.3">
      <c r="A243" s="42"/>
      <c r="B243" s="17"/>
      <c r="C243" s="17"/>
      <c r="D243" s="17"/>
      <c r="E243" s="17"/>
      <c r="F243" s="17"/>
      <c r="G243" s="17"/>
      <c r="H243" s="17"/>
      <c r="I243" s="17"/>
      <c r="J243" s="2"/>
    </row>
    <row r="244" spans="1:12" ht="15" customHeight="1" x14ac:dyDescent="0.3">
      <c r="B244" s="17"/>
      <c r="C244" s="17"/>
      <c r="I244" s="17"/>
    </row>
    <row r="245" spans="1:12" ht="15" customHeight="1" x14ac:dyDescent="0.3">
      <c r="B245" s="17"/>
      <c r="I245" s="17"/>
    </row>
  </sheetData>
  <autoFilter ref="B2:J174" xr:uid="{00000000-0009-0000-0000-000001000000}"/>
  <mergeCells count="1">
    <mergeCell ref="B1:I1"/>
  </mergeCells>
  <conditionalFormatting sqref="A3:A243 E33 E134:E145">
    <cfRule type="cellIs" dxfId="34" priority="501" stopIfTrue="1" operator="lessThan">
      <formula>0</formula>
    </cfRule>
  </conditionalFormatting>
  <conditionalFormatting sqref="B130:B143">
    <cfRule type="cellIs" dxfId="33" priority="484" stopIfTrue="1" operator="lessThan">
      <formula>0</formula>
    </cfRule>
  </conditionalFormatting>
  <conditionalFormatting sqref="B157:B245">
    <cfRule type="cellIs" dxfId="32" priority="41" stopIfTrue="1" operator="lessThan">
      <formula>0</formula>
    </cfRule>
  </conditionalFormatting>
  <conditionalFormatting sqref="C156 C158 C160 C162 C164 C166 C168 C174 C176">
    <cfRule type="cellIs" dxfId="31" priority="42" stopIfTrue="1" operator="lessThan">
      <formula>0</formula>
    </cfRule>
  </conditionalFormatting>
  <conditionalFormatting sqref="C178:C244 J180 I180:I245">
    <cfRule type="cellIs" dxfId="30" priority="731" stopIfTrue="1" operator="lessThan">
      <formula>0</formula>
    </cfRule>
  </conditionalFormatting>
  <conditionalFormatting sqref="D133">
    <cfRule type="cellIs" dxfId="29" priority="499" stopIfTrue="1" operator="lessThan">
      <formula>0</formula>
    </cfRule>
  </conditionalFormatting>
  <conditionalFormatting sqref="D150">
    <cfRule type="cellIs" dxfId="28" priority="86" stopIfTrue="1" operator="lessThan">
      <formula>0</formula>
    </cfRule>
  </conditionalFormatting>
  <conditionalFormatting sqref="D154:D155">
    <cfRule type="cellIs" dxfId="27" priority="470" stopIfTrue="1" operator="lessThan">
      <formula>0</formula>
    </cfRule>
  </conditionalFormatting>
  <conditionalFormatting sqref="D159:D164">
    <cfRule type="cellIs" dxfId="26" priority="27" stopIfTrue="1" operator="lessThan">
      <formula>0</formula>
    </cfRule>
  </conditionalFormatting>
  <conditionalFormatting sqref="D165:E166 D167:D168 C170:D170 D171:E171 C172:D172">
    <cfRule type="cellIs" dxfId="25" priority="34" stopIfTrue="1" operator="lessThan">
      <formula>0</formula>
    </cfRule>
  </conditionalFormatting>
  <conditionalFormatting sqref="D178:E180">
    <cfRule type="cellIs" dxfId="24" priority="36" stopIfTrue="1" operator="lessThan">
      <formula>0</formula>
    </cfRule>
  </conditionalFormatting>
  <conditionalFormatting sqref="D180:H243">
    <cfRule type="cellIs" dxfId="23" priority="683" stopIfTrue="1" operator="lessThan">
      <formula>0</formula>
    </cfRule>
  </conditionalFormatting>
  <conditionalFormatting sqref="E3:E4 E7:E8 E11 E13 E15 E23 E147:E164">
    <cfRule type="cellIs" dxfId="22" priority="22" stopIfTrue="1" operator="lessThan">
      <formula>0</formula>
    </cfRule>
  </conditionalFormatting>
  <conditionalFormatting sqref="E19:E20">
    <cfRule type="cellIs" dxfId="21" priority="18" stopIfTrue="1" operator="lessThan">
      <formula>0</formula>
    </cfRule>
  </conditionalFormatting>
  <conditionalFormatting sqref="E35:E37">
    <cfRule type="cellIs" dxfId="20" priority="19" stopIfTrue="1" operator="lessThan">
      <formula>0</formula>
    </cfRule>
  </conditionalFormatting>
  <conditionalFormatting sqref="E42">
    <cfRule type="cellIs" dxfId="19" priority="17" stopIfTrue="1" operator="lessThan">
      <formula>0</formula>
    </cfRule>
  </conditionalFormatting>
  <conditionalFormatting sqref="E58:E59">
    <cfRule type="cellIs" dxfId="18" priority="16" stopIfTrue="1" operator="lessThan">
      <formula>0</formula>
    </cfRule>
  </conditionalFormatting>
  <conditionalFormatting sqref="E61">
    <cfRule type="cellIs" dxfId="17" priority="15" stopIfTrue="1" operator="lessThan">
      <formula>0</formula>
    </cfRule>
  </conditionalFormatting>
  <conditionalFormatting sqref="E64">
    <cfRule type="cellIs" dxfId="16" priority="14" stopIfTrue="1" operator="lessThan">
      <formula>0</formula>
    </cfRule>
  </conditionalFormatting>
  <conditionalFormatting sqref="E66:E68">
    <cfRule type="cellIs" dxfId="15" priority="13" stopIfTrue="1" operator="lessThan">
      <formula>0</formula>
    </cfRule>
  </conditionalFormatting>
  <conditionalFormatting sqref="E72">
    <cfRule type="cellIs" dxfId="14" priority="12" stopIfTrue="1" operator="lessThan">
      <formula>0</formula>
    </cfRule>
  </conditionalFormatting>
  <conditionalFormatting sqref="E76:E81 E87:E89 E112:E114 E116">
    <cfRule type="cellIs" dxfId="13" priority="8" stopIfTrue="1" operator="lessThan">
      <formula>0</formula>
    </cfRule>
  </conditionalFormatting>
  <conditionalFormatting sqref="E85">
    <cfRule type="cellIs" dxfId="12" priority="7" stopIfTrue="1" operator="lessThan">
      <formula>0</formula>
    </cfRule>
  </conditionalFormatting>
  <conditionalFormatting sqref="E109:E110">
    <cfRule type="cellIs" dxfId="11" priority="5" stopIfTrue="1" operator="lessThan">
      <formula>0</formula>
    </cfRule>
  </conditionalFormatting>
  <conditionalFormatting sqref="E122:E125 E127:E132">
    <cfRule type="cellIs" dxfId="10" priority="3" stopIfTrue="1" operator="lessThan">
      <formula>0</formula>
    </cfRule>
  </conditionalFormatting>
  <conditionalFormatting sqref="E167:E170">
    <cfRule type="cellIs" dxfId="9" priority="24" stopIfTrue="1" operator="lessThan">
      <formula>0</formula>
    </cfRule>
  </conditionalFormatting>
  <conditionalFormatting sqref="E172:E177">
    <cfRule type="cellIs" dxfId="8" priority="23" stopIfTrue="1" operator="lessThan">
      <formula>0</formula>
    </cfRule>
  </conditionalFormatting>
  <conditionalFormatting sqref="F68:F69">
    <cfRule type="cellIs" dxfId="7" priority="21" stopIfTrue="1" operator="lessThan">
      <formula>0</formula>
    </cfRule>
  </conditionalFormatting>
  <conditionalFormatting sqref="F77">
    <cfRule type="cellIs" dxfId="6" priority="10" stopIfTrue="1" operator="lessThan">
      <formula>0</formula>
    </cfRule>
  </conditionalFormatting>
  <conditionalFormatting sqref="F87">
    <cfRule type="cellIs" dxfId="5" priority="6" stopIfTrue="1" operator="lessThan">
      <formula>0</formula>
    </cfRule>
  </conditionalFormatting>
  <conditionalFormatting sqref="F99:F100">
    <cfRule type="cellIs" dxfId="4" priority="144" stopIfTrue="1" operator="lessThan">
      <formula>0</formula>
    </cfRule>
  </conditionalFormatting>
  <conditionalFormatting sqref="F112">
    <cfRule type="cellIs" dxfId="3" priority="4" stopIfTrue="1" operator="lessThan">
      <formula>0</formula>
    </cfRule>
  </conditionalFormatting>
  <conditionalFormatting sqref="F117">
    <cfRule type="cellIs" dxfId="2" priority="28" stopIfTrue="1" operator="lessThan">
      <formula>0</formula>
    </cfRule>
  </conditionalFormatting>
  <conditionalFormatting sqref="F125">
    <cfRule type="cellIs" dxfId="1" priority="2" stopIfTrue="1" operator="lessThan">
      <formula>0</formula>
    </cfRule>
  </conditionalFormatting>
  <conditionalFormatting sqref="E126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E42 E19:E20 E35:E37 E33 E23 E15 E13 E11 E7:E8 E3:E4 E147:E178 E134:E145 E58:E59 E72 E61 E64 E66:E68 E76:E81 E85 E87:E89 E109:E110 E112:E114 E116 E122:E132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2026-09-29T17:04:55Z</dcterms:modified>
</cp:coreProperties>
</file>