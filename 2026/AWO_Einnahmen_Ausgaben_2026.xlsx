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GitHubDesktopFiles\AWO\2026\"/>
    </mc:Choice>
  </mc:AlternateContent>
  <xr:revisionPtr revIDLastSave="0" documentId="13_ncr:1_{37DD4820-5413-4FD0-B5C0-5F52EE6D94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innahmen" sheetId="4" r:id="rId1"/>
    <sheet name="Ausgaben" sheetId="1" r:id="rId2"/>
    <sheet name="Gesamt" sheetId="5" r:id="rId3"/>
  </sheets>
  <definedNames>
    <definedName name="_xlnm._FilterDatabase" localSheetId="1" hidden="1">Ausgaben!$B$2:$J$175</definedName>
    <definedName name="_xlnm._FilterDatabase" localSheetId="0" hidden="1">Einnahmen!$A$2:$H$107</definedName>
    <definedName name="_xlnm.Print_Area" localSheetId="1">Ausgaben!$A$1:$I$179</definedName>
    <definedName name="_xlnm.Print_Area" localSheetId="0">Einnahmen!$A$1:$H$115</definedName>
  </definedNames>
  <calcPr calcId="19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H11" i="5" l="1"/>
  <c r="H9" i="5"/>
  <c r="H10" i="5"/>
  <c r="H17" i="5" l="1"/>
  <c r="H25" i="5"/>
  <c r="H24" i="5"/>
  <c r="H23" i="5"/>
  <c r="H22" i="5"/>
  <c r="H21" i="5"/>
  <c r="H20" i="5"/>
  <c r="H19" i="5"/>
  <c r="H18" i="5"/>
  <c r="H8" i="5"/>
  <c r="H7" i="5"/>
  <c r="H6" i="5"/>
  <c r="H5" i="5"/>
  <c r="H4" i="5"/>
  <c r="G180" i="1" l="1"/>
  <c r="H111" i="4" l="1"/>
  <c r="G111" i="4"/>
  <c r="E111" i="4"/>
  <c r="F111" i="4"/>
  <c r="F180" i="1"/>
  <c r="H180" i="1"/>
  <c r="I180" i="1"/>
  <c r="H113" i="4" l="1"/>
  <c r="F113" i="4"/>
  <c r="E113" i="4"/>
  <c r="G113" i="4"/>
  <c r="D115" i="4" l="1"/>
</calcChain>
</file>

<file path=xl/sharedStrings.xml><?xml version="1.0" encoding="utf-8"?>
<sst xmlns="http://schemas.openxmlformats.org/spreadsheetml/2006/main" count="514" uniqueCount="165">
  <si>
    <t>T. z. g. Laune</t>
  </si>
  <si>
    <t>Einnahmen</t>
  </si>
  <si>
    <t>Ausgaben</t>
  </si>
  <si>
    <t>Versicherung</t>
  </si>
  <si>
    <t>Datum</t>
  </si>
  <si>
    <t>Nr</t>
  </si>
  <si>
    <t>Zweck</t>
  </si>
  <si>
    <t>Zweck II</t>
  </si>
  <si>
    <t>Barkasse</t>
  </si>
  <si>
    <t>VOBA
630041008</t>
  </si>
  <si>
    <t>VOBA TgK 630041601</t>
  </si>
  <si>
    <t>KSK
2029223</t>
  </si>
  <si>
    <t>Spenden</t>
  </si>
  <si>
    <t>Sonstiges</t>
  </si>
  <si>
    <t>Büromaterial</t>
  </si>
  <si>
    <t>SALDO</t>
  </si>
  <si>
    <t>Aktueller Kontostand (Eingaben minus Ausgaben)</t>
  </si>
  <si>
    <t>Guthaben insgesamt</t>
  </si>
  <si>
    <t>Weihnachtsfeier</t>
  </si>
  <si>
    <t>Portoauslagen</t>
  </si>
  <si>
    <t>Miete</t>
  </si>
  <si>
    <t>Nebenkosten</t>
  </si>
  <si>
    <t>Jubiläen</t>
  </si>
  <si>
    <t>Durchlaufspenden</t>
  </si>
  <si>
    <t>Zinsen</t>
  </si>
  <si>
    <t>Mitgliedsbeitr. BV</t>
  </si>
  <si>
    <t>Beiträge an OV</t>
  </si>
  <si>
    <t>Bar- &amp; Kontobew.</t>
  </si>
  <si>
    <t>Zuschüsse</t>
  </si>
  <si>
    <t>Bankgebühren</t>
  </si>
  <si>
    <t>Personalkosten</t>
  </si>
  <si>
    <t>Spende Stadt Vereinsförderung immer bis Juni beantragen</t>
  </si>
  <si>
    <t>70erFeier</t>
  </si>
  <si>
    <t>Zeilenbeschriftungen</t>
  </si>
  <si>
    <t>Summe von Barkasse</t>
  </si>
  <si>
    <t>Summe von VOBA</t>
  </si>
  <si>
    <t>Summe von VOBA TgK 630041601</t>
  </si>
  <si>
    <t>Summe von KSK</t>
  </si>
  <si>
    <t>Summe von KSK SpB 3001734183</t>
  </si>
  <si>
    <t>Gesamtergebnis</t>
  </si>
  <si>
    <t>Gesamt Einnahmen</t>
  </si>
  <si>
    <t>Gesamt Ausgaben</t>
  </si>
  <si>
    <t>Summen</t>
  </si>
  <si>
    <t>zusätzlich noch 20000€ Kapitalanlage bei der AWO Böblingen</t>
  </si>
  <si>
    <t>Übertrag aus 2025</t>
  </si>
  <si>
    <t>WGV Versicherung</t>
  </si>
  <si>
    <t>tzgl</t>
  </si>
  <si>
    <t xml:space="preserve">AWO Bund </t>
  </si>
  <si>
    <t>Abschlag Wasser</t>
  </si>
  <si>
    <t>Chorverein Miete Farrenstall</t>
  </si>
  <si>
    <t>Bäcker Raisch</t>
  </si>
  <si>
    <t>Strom</t>
  </si>
  <si>
    <t>GEZ</t>
  </si>
  <si>
    <t>W.feier Tombola</t>
  </si>
  <si>
    <t>Umbbuchung</t>
  </si>
  <si>
    <t>Internet</t>
  </si>
  <si>
    <t>Vereinsring</t>
  </si>
  <si>
    <t>Kassensystem Sum Up</t>
  </si>
  <si>
    <t>W.feier Musikerheim 2025</t>
  </si>
  <si>
    <t>Spende W.baum team</t>
  </si>
  <si>
    <t>Spende Ritter</t>
  </si>
  <si>
    <t>Ehrennadeln</t>
  </si>
  <si>
    <t>Wasserhahn</t>
  </si>
  <si>
    <t>Aufkleber</t>
  </si>
  <si>
    <t>Helferessen</t>
  </si>
  <si>
    <t>SPD Miete 11.2.</t>
  </si>
  <si>
    <t>Spende B.Schmäschke</t>
  </si>
  <si>
    <t>B.Schmäschke Miete</t>
  </si>
  <si>
    <t>Trauerkarte Laich</t>
  </si>
  <si>
    <t>Strato Webservice</t>
  </si>
  <si>
    <t>Porto JHV</t>
  </si>
  <si>
    <t>Richter Druck, Weltfrauentag</t>
  </si>
  <si>
    <t>Porto Weltfrauentag</t>
  </si>
  <si>
    <t>16a</t>
  </si>
  <si>
    <t>16b</t>
  </si>
  <si>
    <t>SPD Miete 11.3.</t>
  </si>
  <si>
    <t>AWO Spendenkasse JHV</t>
  </si>
  <si>
    <t>Bargeld Frühlingserwachen</t>
  </si>
  <si>
    <t>Sumup Frühlingserwachen</t>
  </si>
  <si>
    <t>Abschluss KSK</t>
  </si>
  <si>
    <t>Sumup, AWO Open</t>
  </si>
  <si>
    <t>SPD Getränke</t>
  </si>
  <si>
    <t>Blumen JHV Früchtelädle</t>
  </si>
  <si>
    <t>Jasmin Schulung</t>
  </si>
  <si>
    <t>Ausg Roland Fruehlingserw</t>
  </si>
  <si>
    <t>14a</t>
  </si>
  <si>
    <t>Vereinsförderung Wabu</t>
  </si>
  <si>
    <t>Vereinsförderung Wabu Seniorenarbeit</t>
  </si>
  <si>
    <t>JHV Miete Hdb</t>
  </si>
  <si>
    <t>Sumup Test (Gebühr0,01€)</t>
  </si>
  <si>
    <t>AwOpen Flyer</t>
  </si>
  <si>
    <t>Frühlingserw. Grillgut</t>
  </si>
  <si>
    <t>Frühlingserw. Sonstiges Selgros</t>
  </si>
  <si>
    <t>Frühlingserw. Ausg Rani Indisch</t>
  </si>
  <si>
    <t>Frühlingserw. Ausg Tina Indisch</t>
  </si>
  <si>
    <t>Frühlingserw. Ausg Stefan Getränke</t>
  </si>
  <si>
    <t>Bürgerbus</t>
  </si>
  <si>
    <t>Frühlingserw. Bäcker</t>
  </si>
  <si>
    <t>AwOpen Ausgaben Jasmin</t>
  </si>
  <si>
    <t>Awo Open</t>
  </si>
  <si>
    <t>Awo Kreis Zinsen Kapitalfond</t>
  </si>
  <si>
    <t>AWO Bund Rückverteilung</t>
  </si>
  <si>
    <t>Spende JHV H.Heimann</t>
  </si>
  <si>
    <t>Abschluss KSK siehe Ktauszug04</t>
  </si>
  <si>
    <t>Bargeldeinzahlung 90 Günne Senioren+100tzgl+140busreise</t>
  </si>
  <si>
    <t>Radservice Spendenbox</t>
  </si>
  <si>
    <t>Radservice Brezeln</t>
  </si>
  <si>
    <t>2.Spende Radservice2026</t>
  </si>
  <si>
    <t>SPD Miete</t>
  </si>
  <si>
    <t>Tinte 83,39+  tzgl 5,99</t>
  </si>
  <si>
    <t>Wasser</t>
  </si>
  <si>
    <t>SPD Getränke 6.5.</t>
  </si>
  <si>
    <t>SPD Miete 6.5.</t>
  </si>
  <si>
    <t>Spende Muttertagsbasteln</t>
  </si>
  <si>
    <t>tzgl  12.5.</t>
  </si>
  <si>
    <t>tzgl  26.5.</t>
  </si>
  <si>
    <t>tzgl 9.6.</t>
  </si>
  <si>
    <t>AWO Bund</t>
  </si>
  <si>
    <t>Awo Open 23.6.</t>
  </si>
  <si>
    <t>tzgl 23.6.</t>
  </si>
  <si>
    <t>SPD Getränke Ferdi</t>
  </si>
  <si>
    <t>Spende an Ponde</t>
  </si>
  <si>
    <t>Spende an Awo Waldheim</t>
  </si>
  <si>
    <t>AwoOpen</t>
  </si>
  <si>
    <t>80a</t>
  </si>
  <si>
    <t>SPD 24.6. Miete</t>
  </si>
  <si>
    <t>Busreise</t>
  </si>
  <si>
    <t>D.Müller Spende</t>
  </si>
  <si>
    <t>Getränle Heißwolf</t>
  </si>
  <si>
    <t>A.Haefner Beitrag Jul-Dez</t>
  </si>
  <si>
    <t>Shirts&amp;Sonnenschirm&amp;Sonstiges</t>
  </si>
  <si>
    <t>Spende Musikergage</t>
  </si>
  <si>
    <t>Sommerfest Selgros</t>
  </si>
  <si>
    <t>Sommerfest</t>
  </si>
  <si>
    <t>Escape Game Equipment</t>
  </si>
  <si>
    <t>Sommerfest Fleisch</t>
  </si>
  <si>
    <t>Sommerfest Käse</t>
  </si>
  <si>
    <t>Sommerfest Ukr. Essen</t>
  </si>
  <si>
    <t xml:space="preserve">Einnahmen Escape Game </t>
  </si>
  <si>
    <t>tzgl 7.7.</t>
  </si>
  <si>
    <t>Sommerfest Einnahmen</t>
  </si>
  <si>
    <t>Sommerfest Einnahmen SumUp Beleg fehlt noch</t>
  </si>
  <si>
    <t>Sommerfest Brezeln</t>
  </si>
  <si>
    <t>Sommerfest Drucke</t>
  </si>
  <si>
    <t>Sommerfest Getränke</t>
  </si>
  <si>
    <t>Miete WEG Versammlung Hochhaus</t>
  </si>
  <si>
    <t>Sommerfest Gema</t>
  </si>
  <si>
    <t>tzgl 21.7.</t>
  </si>
  <si>
    <t>Konto gebühr</t>
  </si>
  <si>
    <t>Sommerfest Raisch</t>
  </si>
  <si>
    <t>tzgl 4.8.</t>
  </si>
  <si>
    <t>Escape Game 9.8.</t>
  </si>
  <si>
    <t>Getränke Heißwolf</t>
  </si>
  <si>
    <t>tzgl 18.8.</t>
  </si>
  <si>
    <t>tzgl 1.9.</t>
  </si>
  <si>
    <t>Escape 6.9.</t>
  </si>
  <si>
    <t>Gebühr EC Karte</t>
  </si>
  <si>
    <t>Kinderschminken Sommerfest</t>
  </si>
  <si>
    <t>tzgl 15.9.</t>
  </si>
  <si>
    <t>tzgl 29.9.</t>
  </si>
  <si>
    <t>Escape Room Volleyball</t>
  </si>
  <si>
    <t>122a</t>
  </si>
  <si>
    <t>Bankgebuehr KSK</t>
  </si>
  <si>
    <t>Trauerkarte Natly</t>
  </si>
  <si>
    <t>Weihnachtsfeier Taschen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</si>
</sst>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&quot; &quot;[$€-2];&quot;-&quot;#,##0.00&quot; &quot;[$€-2]"/>
    <numFmt numFmtId="166" formatCode="#,##0.00&quot; €&quot;"/>
  </numFmts>
  <fonts count="5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trike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/>
  </cellStyleXfs>
  <cellXfs count="90">
    <xf numFmtId="0" fontId="0" fillId="0" borderId="0" xfId="0"/>
    <xf numFmtId="0" fontId="0" fillId="0" borderId="0" xfId="0" applyNumberFormat="1"/>
    <xf numFmtId="0" fontId="0" fillId="0" borderId="1" xfId="0" applyBorder="1"/>
    <xf numFmtId="49" fontId="0" fillId="2" borderId="1" xfId="0" applyNumberFormat="1" applyFill="1" applyBorder="1"/>
    <xf numFmtId="0" fontId="0" fillId="0" borderId="3" xfId="0" applyBorder="1"/>
    <xf numFmtId="49" fontId="1" fillId="3" borderId="2" xfId="0" applyNumberFormat="1" applyFont="1" applyFill="1" applyBorder="1"/>
    <xf numFmtId="49" fontId="1" fillId="3" borderId="2" xfId="0" applyNumberFormat="1" applyFont="1" applyFill="1" applyBorder="1" applyAlignment="1">
      <alignment horizontal="center" wrapText="1"/>
    </xf>
    <xf numFmtId="49" fontId="1" fillId="4" borderId="2" xfId="0" applyNumberFormat="1" applyFont="1" applyFill="1" applyBorder="1"/>
    <xf numFmtId="49" fontId="1" fillId="4" borderId="2" xfId="0" applyNumberFormat="1" applyFont="1" applyFill="1" applyBorder="1" applyAlignment="1">
      <alignment wrapText="1"/>
    </xf>
    <xf numFmtId="164" fontId="0" fillId="2" borderId="4" xfId="0" applyNumberFormat="1" applyFill="1" applyBorder="1"/>
    <xf numFmtId="0" fontId="0" fillId="2" borderId="5" xfId="0" applyNumberFormat="1" applyFill="1" applyBorder="1"/>
    <xf numFmtId="0" fontId="0" fillId="2" borderId="6" xfId="0" applyNumberFormat="1" applyFill="1" applyBorder="1"/>
    <xf numFmtId="165" fontId="0" fillId="2" borderId="4" xfId="0" applyNumberFormat="1" applyFill="1" applyBorder="1"/>
    <xf numFmtId="165" fontId="0" fillId="2" borderId="5" xfId="0" applyNumberFormat="1" applyFill="1" applyBorder="1"/>
    <xf numFmtId="164" fontId="0" fillId="2" borderId="3" xfId="0" applyNumberFormat="1" applyFill="1" applyBorder="1"/>
    <xf numFmtId="0" fontId="0" fillId="2" borderId="1" xfId="0" applyNumberFormat="1" applyFill="1" applyBorder="1"/>
    <xf numFmtId="165" fontId="0" fillId="2" borderId="3" xfId="0" applyNumberFormat="1" applyFill="1" applyBorder="1"/>
    <xf numFmtId="165" fontId="0" fillId="2" borderId="1" xfId="0" applyNumberFormat="1" applyFill="1" applyBorder="1"/>
    <xf numFmtId="165" fontId="0" fillId="2" borderId="7" xfId="0" applyNumberFormat="1" applyFill="1" applyBorder="1"/>
    <xf numFmtId="166" fontId="0" fillId="2" borderId="3" xfId="0" applyNumberFormat="1" applyFill="1" applyBorder="1"/>
    <xf numFmtId="166" fontId="0" fillId="2" borderId="1" xfId="0" applyNumberFormat="1" applyFill="1" applyBorder="1"/>
    <xf numFmtId="49" fontId="0" fillId="2" borderId="7" xfId="0" applyNumberFormat="1" applyFill="1" applyBorder="1"/>
    <xf numFmtId="49" fontId="1" fillId="3" borderId="8" xfId="0" applyNumberFormat="1" applyFont="1" applyFill="1" applyBorder="1"/>
    <xf numFmtId="0" fontId="1" fillId="3" borderId="9" xfId="0" applyNumberFormat="1" applyFont="1" applyFill="1" applyBorder="1"/>
    <xf numFmtId="0" fontId="1" fillId="3" borderId="10" xfId="0" applyNumberFormat="1" applyFont="1" applyFill="1" applyBorder="1"/>
    <xf numFmtId="165" fontId="1" fillId="3" borderId="8" xfId="0" applyNumberFormat="1" applyFont="1" applyFill="1" applyBorder="1"/>
    <xf numFmtId="165" fontId="1" fillId="3" borderId="9" xfId="0" applyNumberFormat="1" applyFont="1" applyFill="1" applyBorder="1"/>
    <xf numFmtId="165" fontId="1" fillId="3" borderId="10" xfId="0" applyNumberFormat="1" applyFont="1" applyFill="1" applyBorder="1"/>
    <xf numFmtId="49" fontId="1" fillId="4" borderId="8" xfId="0" applyNumberFormat="1" applyFont="1" applyFill="1" applyBorder="1"/>
    <xf numFmtId="165" fontId="1" fillId="4" borderId="9" xfId="0" applyNumberFormat="1" applyFont="1" applyFill="1" applyBorder="1"/>
    <xf numFmtId="165" fontId="1" fillId="4" borderId="10" xfId="0" applyNumberFormat="1" applyFont="1" applyFill="1" applyBorder="1"/>
    <xf numFmtId="166" fontId="1" fillId="4" borderId="8" xfId="0" applyNumberFormat="1" applyFont="1" applyFill="1" applyBorder="1"/>
    <xf numFmtId="166" fontId="1" fillId="4" borderId="9" xfId="0" applyNumberFormat="1" applyFont="1" applyFill="1" applyBorder="1"/>
    <xf numFmtId="0" fontId="0" fillId="2" borderId="11" xfId="0" applyNumberFormat="1" applyFill="1" applyBorder="1"/>
    <xf numFmtId="165" fontId="0" fillId="2" borderId="11" xfId="0" applyNumberFormat="1" applyFill="1" applyBorder="1"/>
    <xf numFmtId="0" fontId="0" fillId="0" borderId="11" xfId="0" applyBorder="1"/>
    <xf numFmtId="0" fontId="0" fillId="0" borderId="5" xfId="0" applyBorder="1"/>
    <xf numFmtId="1" fontId="0" fillId="2" borderId="1" xfId="0" applyNumberFormat="1" applyFill="1" applyBorder="1"/>
    <xf numFmtId="49" fontId="1" fillId="3" borderId="2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wrapText="1"/>
    </xf>
    <xf numFmtId="165" fontId="0" fillId="2" borderId="13" xfId="0" applyNumberFormat="1" applyFill="1" applyBorder="1"/>
    <xf numFmtId="165" fontId="0" fillId="2" borderId="12" xfId="0" applyNumberFormat="1" applyFill="1" applyBorder="1"/>
    <xf numFmtId="0" fontId="0" fillId="0" borderId="0" xfId="0" applyNumberFormat="1" applyBorder="1"/>
    <xf numFmtId="0" fontId="0" fillId="0" borderId="12" xfId="0" applyBorder="1"/>
    <xf numFmtId="0" fontId="1" fillId="3" borderId="14" xfId="0" applyNumberFormat="1" applyFont="1" applyFill="1" applyBorder="1"/>
    <xf numFmtId="49" fontId="0" fillId="2" borderId="5" xfId="0" applyNumberFormat="1" applyFill="1" applyBorder="1"/>
    <xf numFmtId="49" fontId="1" fillId="4" borderId="2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5" fontId="1" fillId="4" borderId="9" xfId="0" applyNumberFormat="1" applyFont="1" applyFill="1" applyBorder="1" applyAlignment="1">
      <alignment horizontal="center"/>
    </xf>
    <xf numFmtId="49" fontId="0" fillId="2" borderId="15" xfId="0" applyNumberFormat="1" applyFill="1" applyBorder="1"/>
    <xf numFmtId="166" fontId="0" fillId="2" borderId="16" xfId="0" applyNumberFormat="1" applyFill="1" applyBorder="1"/>
    <xf numFmtId="2" fontId="0" fillId="0" borderId="0" xfId="0" applyNumberFormat="1"/>
    <xf numFmtId="0" fontId="1" fillId="0" borderId="0" xfId="0" applyFont="1"/>
    <xf numFmtId="0" fontId="0" fillId="0" borderId="17" xfId="0" applyNumberFormat="1" applyBorder="1"/>
    <xf numFmtId="2" fontId="0" fillId="5" borderId="18" xfId="0" applyNumberFormat="1" applyFill="1" applyBorder="1"/>
    <xf numFmtId="0" fontId="0" fillId="5" borderId="19" xfId="0" applyFill="1" applyBorder="1"/>
    <xf numFmtId="2" fontId="0" fillId="5" borderId="20" xfId="0" applyNumberFormat="1" applyFill="1" applyBorder="1"/>
    <xf numFmtId="0" fontId="0" fillId="5" borderId="21" xfId="0" applyFill="1" applyBorder="1" applyAlignment="1">
      <alignment horizontal="left"/>
    </xf>
    <xf numFmtId="0" fontId="0" fillId="5" borderId="19" xfId="0" applyNumberFormat="1" applyFill="1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25" xfId="0" applyBorder="1" applyAlignment="1">
      <alignment horizontal="left"/>
    </xf>
    <xf numFmtId="0" fontId="0" fillId="0" borderId="26" xfId="0" pivotButton="1" applyBorder="1"/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  <xf numFmtId="0" fontId="0" fillId="0" borderId="35" xfId="0" applyNumberFormat="1" applyBorder="1"/>
    <xf numFmtId="2" fontId="1" fillId="5" borderId="22" xfId="0" applyNumberFormat="1" applyFont="1" applyFill="1" applyBorder="1"/>
    <xf numFmtId="0" fontId="1" fillId="5" borderId="23" xfId="0" applyFont="1" applyFill="1" applyBorder="1" applyAlignment="1">
      <alignment horizontal="left"/>
    </xf>
    <xf numFmtId="165" fontId="3" fillId="2" borderId="1" xfId="0" applyNumberFormat="1" applyFont="1" applyFill="1" applyBorder="1"/>
    <xf numFmtId="49" fontId="2" fillId="2" borderId="1" xfId="0" applyNumberFormat="1" applyFont="1" applyFill="1" applyBorder="1"/>
    <xf numFmtId="49" fontId="2" fillId="2" borderId="7" xfId="0" applyNumberFormat="1" applyFont="1" applyFill="1" applyBorder="1"/>
    <xf numFmtId="49" fontId="4" fillId="2" borderId="1" xfId="0" applyNumberFormat="1" applyFont="1" applyFill="1" applyBorder="1"/>
    <xf numFmtId="14" fontId="0" fillId="0" borderId="0" xfId="0" applyNumberFormat="1"/>
    <xf numFmtId="49" fontId="2" fillId="2" borderId="15" xfId="0" applyNumberFormat="1" applyFont="1" applyFill="1" applyBorder="1"/>
    <xf numFmtId="49" fontId="1" fillId="3" borderId="2" xfId="0" applyNumberFormat="1" applyFont="1" applyFill="1" applyBorder="1" applyAlignment="1">
      <alignment horizontal="center"/>
    </xf>
    <xf numFmtId="0" fontId="0" fillId="0" borderId="2" xfId="0" applyNumberFormat="1" applyBorder="1"/>
    <xf numFmtId="49" fontId="1" fillId="4" borderId="2" xfId="0" applyNumberFormat="1" applyFont="1" applyFill="1" applyBorder="1" applyAlignment="1">
      <alignment horizontal="center"/>
    </xf>
    <xf numFmtId="0" fontId="0" fillId="2" borderId="2" xfId="0" applyNumberFormat="1" applyFill="1" applyBorder="1"/>
  </cellXfs>
  <cellStyles count="1">
    <cellStyle name="Standard" xfId="0" builtinId="0"/>
  </cellStyles>
  <dxfs count="6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D2DAE4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d Wild" refreshedDate="45318.474550578707" createdVersion="4" refreshedVersion="8" minRefreshableVersion="3" recordCount="168" xr:uid="{00000000-000A-0000-FFFF-FFFF00000000}">
  <cacheSource type="worksheet">
    <worksheetSource ref="E2:I175" sheet="Ausgaben"/>
  </cacheSource>
  <cacheFields count="6">
    <cacheField name="Zweck II" numFmtId="0">
      <sharedItems containsBlank="1" count="13">
        <s v="Sonstiges"/>
        <s v="Spenden"/>
        <s v="Nebenkosten"/>
        <s v="T. z. g. Laune"/>
        <s v="Jubiläen"/>
        <s v="Büromaterial"/>
        <s v="Bar- &amp; Kontobew."/>
        <s v="Portoauslagen"/>
        <s v="Weihnachtsfeier"/>
        <s v="Versicherung" u="1"/>
        <m u="1"/>
        <s v="70erFeier" u="1"/>
        <s v="Miete" u="1"/>
      </sharedItems>
    </cacheField>
    <cacheField name="Barkasse" numFmtId="0">
      <sharedItems containsString="0" containsBlank="1" containsNumber="1" minValue="-1380" maxValue="-6.5"/>
    </cacheField>
    <cacheField name="VOBA_x000a_630041008" numFmtId="166">
      <sharedItems containsString="0" containsBlank="1" containsNumber="1" minValue="-568" maxValue="-0.85"/>
    </cacheField>
    <cacheField name="VOBA TgK 630041601" numFmtId="166">
      <sharedItems containsNonDate="0" containsString="0" containsBlank="1"/>
    </cacheField>
    <cacheField name="KSK_x000a_2029223" numFmtId="166">
      <sharedItems containsString="0" containsBlank="1" containsNumber="1" minValue="-163.41" maxValue="-0.5"/>
    </cacheField>
    <cacheField name="KSK SpB 3001734183" numFmtId="166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d Wild" refreshedDate="45318.474550925923" createdVersion="4" refreshedVersion="8" minRefreshableVersion="3" recordCount="108" xr:uid="{00000000-000A-0000-FFFF-FFFF01000000}">
  <cacheSource type="worksheet">
    <worksheetSource ref="D2:H110" sheet="Einnahmen"/>
  </cacheSource>
  <cacheFields count="6">
    <cacheField name="Zweck II" numFmtId="0">
      <sharedItems containsBlank="1" count="11">
        <m/>
        <s v="Spenden"/>
        <s v="Zinsen"/>
        <s v="T. z. g. Laune"/>
        <s v="Sonstiges"/>
        <s v="Nebenkosten"/>
        <s v="Bar- &amp; Kontobew."/>
        <s v="Beiträge an OV"/>
        <s v="Weihnachtsfeier"/>
        <s v="Mitgliedsbeitr. BV" u="1"/>
        <s v="70erFeier" u="1"/>
      </sharedItems>
    </cacheField>
    <cacheField name="Barkasse" numFmtId="0">
      <sharedItems containsString="0" containsBlank="1" containsNumber="1" minValue="9.5" maxValue="1268.2"/>
    </cacheField>
    <cacheField name="VOBA_x000a_630041008" numFmtId="0">
      <sharedItems containsString="0" containsBlank="1" containsNumber="1" minValue="0" maxValue="5456.2400000000052"/>
    </cacheField>
    <cacheField name="VOBA TgK 630041601" numFmtId="165">
      <sharedItems containsString="0" containsBlank="1" containsNumber="1" minValue="2000.5" maxValue="2000.5"/>
    </cacheField>
    <cacheField name="KSK_x000a_2029223" numFmtId="165">
      <sharedItems containsString="0" containsBlank="1" containsNumber="1" minValue="440.04" maxValue="440.04"/>
    </cacheField>
    <cacheField name="KSK SpB 3001734183" numFmtId="165">
      <sharedItems containsString="0" containsBlank="1" containsNumber="1" minValue="0.01" maxValue="949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m/>
    <m/>
    <m/>
    <n v="-163.41"/>
    <m/>
  </r>
  <r>
    <x v="1"/>
    <m/>
    <n v="-75"/>
    <m/>
    <m/>
    <m/>
  </r>
  <r>
    <x v="2"/>
    <m/>
    <n v="-39.06"/>
    <m/>
    <m/>
    <m/>
  </r>
  <r>
    <x v="2"/>
    <m/>
    <n v="-22"/>
    <m/>
    <m/>
    <m/>
  </r>
  <r>
    <x v="2"/>
    <m/>
    <n v="-111"/>
    <m/>
    <m/>
    <m/>
  </r>
  <r>
    <x v="3"/>
    <m/>
    <n v="-9.9600000000000009"/>
    <m/>
    <m/>
    <m/>
  </r>
  <r>
    <x v="2"/>
    <m/>
    <n v="-18.36"/>
    <m/>
    <m/>
    <m/>
  </r>
  <r>
    <x v="2"/>
    <m/>
    <n v="-41.72"/>
    <m/>
    <m/>
    <m/>
  </r>
  <r>
    <x v="4"/>
    <m/>
    <n v="-30"/>
    <m/>
    <m/>
    <m/>
  </r>
  <r>
    <x v="3"/>
    <m/>
    <n v="-8.49"/>
    <m/>
    <m/>
    <m/>
  </r>
  <r>
    <x v="2"/>
    <m/>
    <n v="-12"/>
    <m/>
    <m/>
    <m/>
  </r>
  <r>
    <x v="2"/>
    <m/>
    <n v="-32"/>
    <m/>
    <m/>
    <m/>
  </r>
  <r>
    <x v="3"/>
    <m/>
    <n v="-171.49"/>
    <m/>
    <m/>
    <m/>
  </r>
  <r>
    <x v="2"/>
    <m/>
    <n v="-12"/>
    <m/>
    <m/>
    <m/>
  </r>
  <r>
    <x v="0"/>
    <m/>
    <m/>
    <m/>
    <n v="-0.5"/>
    <m/>
  </r>
  <r>
    <x v="2"/>
    <m/>
    <n v="-22"/>
    <m/>
    <m/>
    <m/>
  </r>
  <r>
    <x v="3"/>
    <m/>
    <n v="-11.81"/>
    <m/>
    <m/>
    <m/>
  </r>
  <r>
    <x v="3"/>
    <m/>
    <n v="-26.26"/>
    <m/>
    <m/>
    <m/>
  </r>
  <r>
    <x v="0"/>
    <m/>
    <n v="-563.20000000000005"/>
    <m/>
    <m/>
    <m/>
  </r>
  <r>
    <x v="3"/>
    <m/>
    <n v="-3.38"/>
    <m/>
    <m/>
    <m/>
  </r>
  <r>
    <x v="0"/>
    <m/>
    <n v="-8.5"/>
    <m/>
    <m/>
    <m/>
  </r>
  <r>
    <x v="0"/>
    <m/>
    <n v="-20"/>
    <m/>
    <m/>
    <m/>
  </r>
  <r>
    <x v="2"/>
    <m/>
    <n v="-41.72"/>
    <m/>
    <m/>
    <m/>
  </r>
  <r>
    <x v="2"/>
    <m/>
    <n v="-43.86"/>
    <m/>
    <m/>
    <m/>
  </r>
  <r>
    <x v="3"/>
    <m/>
    <n v="-30"/>
    <m/>
    <m/>
    <m/>
  </r>
  <r>
    <x v="0"/>
    <m/>
    <n v="-20"/>
    <m/>
    <m/>
    <m/>
  </r>
  <r>
    <x v="3"/>
    <m/>
    <n v="-19.649999999999999"/>
    <m/>
    <m/>
    <m/>
  </r>
  <r>
    <x v="4"/>
    <m/>
    <n v="-25"/>
    <m/>
    <m/>
    <m/>
  </r>
  <r>
    <x v="1"/>
    <m/>
    <n v="-300"/>
    <m/>
    <m/>
    <m/>
  </r>
  <r>
    <x v="3"/>
    <m/>
    <n v="-23.2"/>
    <m/>
    <m/>
    <m/>
  </r>
  <r>
    <x v="0"/>
    <m/>
    <n v="-50"/>
    <m/>
    <m/>
    <m/>
  </r>
  <r>
    <x v="2"/>
    <m/>
    <n v="-12"/>
    <m/>
    <m/>
    <m/>
  </r>
  <r>
    <x v="2"/>
    <m/>
    <n v="-134"/>
    <m/>
    <m/>
    <m/>
  </r>
  <r>
    <x v="2"/>
    <m/>
    <n v="-28"/>
    <m/>
    <m/>
    <m/>
  </r>
  <r>
    <x v="3"/>
    <m/>
    <n v="-47.12"/>
    <m/>
    <m/>
    <m/>
  </r>
  <r>
    <x v="3"/>
    <m/>
    <n v="-20.61"/>
    <m/>
    <m/>
    <m/>
  </r>
  <r>
    <x v="3"/>
    <m/>
    <n v="-13.39"/>
    <m/>
    <m/>
    <m/>
  </r>
  <r>
    <x v="2"/>
    <m/>
    <n v="-41.72"/>
    <m/>
    <m/>
    <m/>
  </r>
  <r>
    <x v="0"/>
    <m/>
    <n v="-65"/>
    <m/>
    <m/>
    <m/>
  </r>
  <r>
    <x v="4"/>
    <m/>
    <n v="-260"/>
    <m/>
    <m/>
    <m/>
  </r>
  <r>
    <x v="0"/>
    <m/>
    <n v="-11.31"/>
    <m/>
    <m/>
    <m/>
  </r>
  <r>
    <x v="2"/>
    <m/>
    <n v="-25.57"/>
    <m/>
    <m/>
    <m/>
  </r>
  <r>
    <x v="0"/>
    <m/>
    <n v="-144.30000000000001"/>
    <m/>
    <m/>
    <m/>
  </r>
  <r>
    <x v="2"/>
    <m/>
    <n v="-12"/>
    <m/>
    <m/>
    <m/>
  </r>
  <r>
    <x v="2"/>
    <m/>
    <n v="-28"/>
    <m/>
    <m/>
    <m/>
  </r>
  <r>
    <x v="2"/>
    <m/>
    <n v="-134"/>
    <m/>
    <m/>
    <m/>
  </r>
  <r>
    <x v="0"/>
    <m/>
    <n v="-71.59"/>
    <m/>
    <m/>
    <m/>
  </r>
  <r>
    <x v="0"/>
    <m/>
    <n v="-37.4"/>
    <m/>
    <m/>
    <m/>
  </r>
  <r>
    <x v="2"/>
    <m/>
    <n v="-18.36"/>
    <m/>
    <m/>
    <m/>
  </r>
  <r>
    <x v="2"/>
    <m/>
    <n v="-41.72"/>
    <m/>
    <m/>
    <m/>
  </r>
  <r>
    <x v="3"/>
    <m/>
    <n v="-56.1"/>
    <m/>
    <m/>
    <m/>
  </r>
  <r>
    <x v="3"/>
    <m/>
    <n v="-5.94"/>
    <m/>
    <m/>
    <m/>
  </r>
  <r>
    <x v="0"/>
    <m/>
    <n v="-80"/>
    <m/>
    <m/>
    <m/>
  </r>
  <r>
    <x v="3"/>
    <m/>
    <n v="-87.97"/>
    <m/>
    <m/>
    <m/>
  </r>
  <r>
    <x v="3"/>
    <m/>
    <n v="-2.9"/>
    <m/>
    <m/>
    <m/>
  </r>
  <r>
    <x v="2"/>
    <m/>
    <n v="-12"/>
    <m/>
    <m/>
    <m/>
  </r>
  <r>
    <x v="2"/>
    <m/>
    <n v="-123.15"/>
    <m/>
    <m/>
    <m/>
  </r>
  <r>
    <x v="2"/>
    <m/>
    <n v="-134"/>
    <m/>
    <m/>
    <m/>
  </r>
  <r>
    <x v="2"/>
    <m/>
    <n v="-28"/>
    <m/>
    <m/>
    <m/>
  </r>
  <r>
    <x v="5"/>
    <m/>
    <n v="-77.959999999999994"/>
    <m/>
    <m/>
    <m/>
  </r>
  <r>
    <x v="0"/>
    <m/>
    <n v="-60.5"/>
    <m/>
    <m/>
    <m/>
  </r>
  <r>
    <x v="3"/>
    <m/>
    <n v="-44.64"/>
    <m/>
    <m/>
    <m/>
  </r>
  <r>
    <x v="3"/>
    <m/>
    <n v="-13.75"/>
    <m/>
    <m/>
    <m/>
  </r>
  <r>
    <x v="1"/>
    <m/>
    <n v="-120"/>
    <m/>
    <m/>
    <m/>
  </r>
  <r>
    <x v="3"/>
    <m/>
    <n v="-120"/>
    <m/>
    <m/>
    <m/>
  </r>
  <r>
    <x v="0"/>
    <m/>
    <n v="-27.36"/>
    <m/>
    <m/>
    <m/>
  </r>
  <r>
    <x v="3"/>
    <m/>
    <n v="-79.900000000000006"/>
    <m/>
    <m/>
    <m/>
  </r>
  <r>
    <x v="3"/>
    <m/>
    <n v="-9.3000000000000007"/>
    <m/>
    <m/>
    <m/>
  </r>
  <r>
    <x v="2"/>
    <m/>
    <n v="-41.72"/>
    <m/>
    <m/>
    <m/>
  </r>
  <r>
    <x v="3"/>
    <m/>
    <n v="-99.99"/>
    <m/>
    <m/>
    <m/>
  </r>
  <r>
    <x v="3"/>
    <m/>
    <n v="-11.99"/>
    <m/>
    <m/>
    <m/>
  </r>
  <r>
    <x v="1"/>
    <m/>
    <n v="-40"/>
    <m/>
    <m/>
    <m/>
  </r>
  <r>
    <x v="4"/>
    <m/>
    <n v="-20"/>
    <m/>
    <m/>
    <m/>
  </r>
  <r>
    <x v="0"/>
    <m/>
    <n v="-293.93"/>
    <m/>
    <m/>
    <m/>
  </r>
  <r>
    <x v="5"/>
    <m/>
    <n v="-70.540000000000006"/>
    <m/>
    <m/>
    <m/>
  </r>
  <r>
    <x v="2"/>
    <m/>
    <n v="-12"/>
    <m/>
    <m/>
    <m/>
  </r>
  <r>
    <x v="2"/>
    <m/>
    <n v="-134"/>
    <m/>
    <m/>
    <m/>
  </r>
  <r>
    <x v="2"/>
    <m/>
    <n v="-28"/>
    <m/>
    <m/>
    <m/>
  </r>
  <r>
    <x v="3"/>
    <m/>
    <n v="-9.67"/>
    <m/>
    <m/>
    <m/>
  </r>
  <r>
    <x v="3"/>
    <m/>
    <n v="-5.04"/>
    <m/>
    <m/>
    <m/>
  </r>
  <r>
    <x v="3"/>
    <m/>
    <n v="-52.46"/>
    <m/>
    <m/>
    <m/>
  </r>
  <r>
    <x v="3"/>
    <m/>
    <n v="-57.56"/>
    <m/>
    <m/>
    <m/>
  </r>
  <r>
    <x v="2"/>
    <m/>
    <n v="-41.72"/>
    <m/>
    <m/>
    <m/>
  </r>
  <r>
    <x v="4"/>
    <m/>
    <n v="-20"/>
    <m/>
    <m/>
    <m/>
  </r>
  <r>
    <x v="3"/>
    <m/>
    <n v="-13.58"/>
    <m/>
    <m/>
    <m/>
  </r>
  <r>
    <x v="3"/>
    <m/>
    <n v="-38.18"/>
    <m/>
    <m/>
    <m/>
  </r>
  <r>
    <x v="2"/>
    <m/>
    <n v="-25.57"/>
    <m/>
    <m/>
    <m/>
  </r>
  <r>
    <x v="3"/>
    <m/>
    <n v="-17.940000000000001"/>
    <m/>
    <m/>
    <m/>
  </r>
  <r>
    <x v="2"/>
    <m/>
    <n v="-12"/>
    <m/>
    <m/>
    <m/>
  </r>
  <r>
    <x v="2"/>
    <m/>
    <n v="-134"/>
    <m/>
    <m/>
    <m/>
  </r>
  <r>
    <x v="2"/>
    <m/>
    <n v="-28"/>
    <m/>
    <m/>
    <m/>
  </r>
  <r>
    <x v="3"/>
    <m/>
    <n v="-127.7"/>
    <m/>
    <m/>
    <m/>
  </r>
  <r>
    <x v="0"/>
    <m/>
    <n v="-45"/>
    <m/>
    <m/>
    <m/>
  </r>
  <r>
    <x v="6"/>
    <m/>
    <n v="-100"/>
    <m/>
    <m/>
    <m/>
  </r>
  <r>
    <x v="3"/>
    <m/>
    <n v="-3.72"/>
    <m/>
    <m/>
    <m/>
  </r>
  <r>
    <x v="3"/>
    <m/>
    <n v="-9.5"/>
    <m/>
    <m/>
    <m/>
  </r>
  <r>
    <x v="3"/>
    <m/>
    <n v="-1.69"/>
    <m/>
    <m/>
    <m/>
  </r>
  <r>
    <x v="2"/>
    <m/>
    <n v="-18.36"/>
    <m/>
    <m/>
    <m/>
  </r>
  <r>
    <x v="6"/>
    <n v="-1380"/>
    <m/>
    <m/>
    <m/>
    <m/>
  </r>
  <r>
    <x v="2"/>
    <m/>
    <n v="-41.72"/>
    <m/>
    <m/>
    <m/>
  </r>
  <r>
    <x v="3"/>
    <m/>
    <n v="-109.83"/>
    <m/>
    <m/>
    <m/>
  </r>
  <r>
    <x v="6"/>
    <n v="-129.71"/>
    <m/>
    <m/>
    <m/>
    <m/>
  </r>
  <r>
    <x v="3"/>
    <m/>
    <n v="-536.29"/>
    <m/>
    <m/>
    <m/>
  </r>
  <r>
    <x v="0"/>
    <m/>
    <m/>
    <m/>
    <n v="-1.35"/>
    <m/>
  </r>
  <r>
    <x v="2"/>
    <m/>
    <n v="-12"/>
    <m/>
    <m/>
    <m/>
  </r>
  <r>
    <x v="3"/>
    <m/>
    <n v="-153.44999999999999"/>
    <m/>
    <m/>
    <m/>
  </r>
  <r>
    <x v="2"/>
    <m/>
    <n v="-28"/>
    <m/>
    <m/>
    <m/>
  </r>
  <r>
    <x v="2"/>
    <m/>
    <n v="-134"/>
    <m/>
    <m/>
    <m/>
  </r>
  <r>
    <x v="1"/>
    <m/>
    <n v="-50"/>
    <m/>
    <m/>
    <m/>
  </r>
  <r>
    <x v="3"/>
    <m/>
    <n v="-376"/>
    <m/>
    <m/>
    <m/>
  </r>
  <r>
    <x v="3"/>
    <m/>
    <n v="-10.23"/>
    <m/>
    <m/>
    <m/>
  </r>
  <r>
    <x v="2"/>
    <m/>
    <n v="-44.41"/>
    <m/>
    <m/>
    <m/>
  </r>
  <r>
    <x v="2"/>
    <m/>
    <n v="-12"/>
    <m/>
    <m/>
    <m/>
  </r>
  <r>
    <x v="2"/>
    <m/>
    <n v="-134"/>
    <m/>
    <m/>
    <m/>
  </r>
  <r>
    <x v="2"/>
    <m/>
    <n v="-28"/>
    <m/>
    <m/>
    <m/>
  </r>
  <r>
    <x v="3"/>
    <m/>
    <n v="-18.510000000000002"/>
    <m/>
    <m/>
    <m/>
  </r>
  <r>
    <x v="2"/>
    <m/>
    <n v="-45.9"/>
    <m/>
    <m/>
    <m/>
  </r>
  <r>
    <x v="0"/>
    <m/>
    <n v="-47.33"/>
    <m/>
    <m/>
    <m/>
  </r>
  <r>
    <x v="3"/>
    <m/>
    <n v="-11.96"/>
    <m/>
    <m/>
    <m/>
  </r>
  <r>
    <x v="3"/>
    <m/>
    <n v="-35.51"/>
    <m/>
    <m/>
    <m/>
  </r>
  <r>
    <x v="2"/>
    <m/>
    <n v="-0.85"/>
    <m/>
    <m/>
    <m/>
  </r>
  <r>
    <x v="2"/>
    <m/>
    <n v="-12"/>
    <m/>
    <m/>
    <m/>
  </r>
  <r>
    <x v="2"/>
    <m/>
    <n v="-25.57"/>
    <m/>
    <m/>
    <m/>
  </r>
  <r>
    <x v="3"/>
    <m/>
    <n v="-440.95"/>
    <m/>
    <m/>
    <m/>
  </r>
  <r>
    <x v="3"/>
    <m/>
    <n v="-86.48"/>
    <m/>
    <m/>
    <m/>
  </r>
  <r>
    <x v="2"/>
    <m/>
    <n v="-134"/>
    <m/>
    <m/>
    <m/>
  </r>
  <r>
    <x v="2"/>
    <m/>
    <n v="-28"/>
    <m/>
    <m/>
    <m/>
  </r>
  <r>
    <x v="3"/>
    <m/>
    <n v="-19.7"/>
    <m/>
    <m/>
    <m/>
  </r>
  <r>
    <x v="3"/>
    <m/>
    <n v="-16.920000000000002"/>
    <m/>
    <m/>
    <m/>
  </r>
  <r>
    <x v="4"/>
    <m/>
    <n v="-25.98"/>
    <m/>
    <m/>
    <m/>
  </r>
  <r>
    <x v="6"/>
    <n v="-6.5"/>
    <m/>
    <m/>
    <m/>
    <m/>
  </r>
  <r>
    <x v="0"/>
    <m/>
    <n v="-102"/>
    <m/>
    <m/>
    <m/>
  </r>
  <r>
    <x v="2"/>
    <m/>
    <n v="-18.36"/>
    <m/>
    <m/>
    <m/>
  </r>
  <r>
    <x v="2"/>
    <m/>
    <n v="-45.9"/>
    <m/>
    <m/>
    <m/>
  </r>
  <r>
    <x v="2"/>
    <m/>
    <n v="-54.28"/>
    <m/>
    <m/>
    <m/>
  </r>
  <r>
    <x v="2"/>
    <m/>
    <n v="-12"/>
    <m/>
    <m/>
    <m/>
  </r>
  <r>
    <x v="2"/>
    <m/>
    <n v="-28"/>
    <m/>
    <m/>
    <m/>
  </r>
  <r>
    <x v="2"/>
    <m/>
    <n v="-134"/>
    <m/>
    <m/>
    <m/>
  </r>
  <r>
    <x v="3"/>
    <m/>
    <n v="-32.65"/>
    <m/>
    <m/>
    <m/>
  </r>
  <r>
    <x v="0"/>
    <m/>
    <n v="-200"/>
    <m/>
    <m/>
    <m/>
  </r>
  <r>
    <x v="3"/>
    <m/>
    <n v="-134.5"/>
    <m/>
    <m/>
    <m/>
  </r>
  <r>
    <x v="0"/>
    <m/>
    <n v="-172.6"/>
    <m/>
    <m/>
    <m/>
  </r>
  <r>
    <x v="3"/>
    <m/>
    <n v="-57.17"/>
    <m/>
    <m/>
    <m/>
  </r>
  <r>
    <x v="0"/>
    <m/>
    <n v="-105"/>
    <m/>
    <m/>
    <m/>
  </r>
  <r>
    <x v="2"/>
    <m/>
    <n v="-45.9"/>
    <m/>
    <m/>
    <m/>
  </r>
  <r>
    <x v="7"/>
    <m/>
    <n v="-27.04"/>
    <m/>
    <m/>
    <m/>
  </r>
  <r>
    <x v="3"/>
    <m/>
    <n v="-13.58"/>
    <m/>
    <m/>
    <m/>
  </r>
  <r>
    <x v="7"/>
    <m/>
    <n v="-19.2"/>
    <m/>
    <m/>
    <m/>
  </r>
  <r>
    <x v="3"/>
    <m/>
    <n v="-22.47"/>
    <m/>
    <m/>
    <m/>
  </r>
  <r>
    <x v="2"/>
    <m/>
    <n v="-12"/>
    <m/>
    <m/>
    <m/>
  </r>
  <r>
    <x v="3"/>
    <m/>
    <n v="-68.36"/>
    <m/>
    <m/>
    <m/>
  </r>
  <r>
    <x v="2"/>
    <m/>
    <n v="-134"/>
    <m/>
    <m/>
    <m/>
  </r>
  <r>
    <x v="2"/>
    <m/>
    <n v="-28"/>
    <m/>
    <m/>
    <m/>
  </r>
  <r>
    <x v="3"/>
    <m/>
    <n v="-37.6"/>
    <m/>
    <m/>
    <m/>
  </r>
  <r>
    <x v="0"/>
    <m/>
    <n v="-259.25"/>
    <m/>
    <m/>
    <m/>
  </r>
  <r>
    <x v="3"/>
    <m/>
    <n v="-36.840000000000003"/>
    <m/>
    <m/>
    <m/>
  </r>
  <r>
    <x v="1"/>
    <m/>
    <n v="-90"/>
    <m/>
    <m/>
    <m/>
  </r>
  <r>
    <x v="3"/>
    <m/>
    <n v="-9.8699999999999992"/>
    <m/>
    <m/>
    <m/>
  </r>
  <r>
    <x v="1"/>
    <m/>
    <n v="-90"/>
    <m/>
    <m/>
    <m/>
  </r>
  <r>
    <x v="1"/>
    <m/>
    <n v="-90"/>
    <m/>
    <m/>
    <m/>
  </r>
  <r>
    <x v="2"/>
    <m/>
    <n v="-45.9"/>
    <m/>
    <m/>
    <m/>
  </r>
  <r>
    <x v="8"/>
    <m/>
    <n v="-478"/>
    <m/>
    <m/>
    <m/>
  </r>
  <r>
    <x v="2"/>
    <m/>
    <n v="-98.41"/>
    <m/>
    <m/>
    <m/>
  </r>
  <r>
    <x v="3"/>
    <m/>
    <n v="-50.12"/>
    <m/>
    <m/>
    <m/>
  </r>
  <r>
    <x v="3"/>
    <m/>
    <n v="-99.98"/>
    <m/>
    <m/>
    <m/>
  </r>
  <r>
    <x v="8"/>
    <m/>
    <n v="-568"/>
    <m/>
    <m/>
    <m/>
  </r>
  <r>
    <x v="6"/>
    <n v="-800"/>
    <m/>
    <m/>
    <m/>
    <m/>
  </r>
  <r>
    <x v="6"/>
    <n v="-86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n v="23.510000000000218"/>
    <n v="5456.2400000000052"/>
    <n v="2000.5"/>
    <n v="440.04"/>
    <n v="949.24"/>
  </r>
  <r>
    <x v="1"/>
    <m/>
    <n v="100"/>
    <m/>
    <m/>
    <m/>
  </r>
  <r>
    <x v="2"/>
    <m/>
    <m/>
    <m/>
    <m/>
    <n v="0.01"/>
  </r>
  <r>
    <x v="3"/>
    <m/>
    <n v="7"/>
    <m/>
    <m/>
    <m/>
  </r>
  <r>
    <x v="4"/>
    <m/>
    <n v="5.22"/>
    <m/>
    <m/>
    <m/>
  </r>
  <r>
    <x v="3"/>
    <m/>
    <n v="115"/>
    <m/>
    <m/>
    <m/>
  </r>
  <r>
    <x v="3"/>
    <m/>
    <n v="100"/>
    <m/>
    <m/>
    <m/>
  </r>
  <r>
    <x v="1"/>
    <m/>
    <n v="200"/>
    <m/>
    <m/>
    <m/>
  </r>
  <r>
    <x v="5"/>
    <m/>
    <n v="340.83"/>
    <m/>
    <m/>
    <m/>
  </r>
  <r>
    <x v="3"/>
    <m/>
    <n v="100"/>
    <m/>
    <m/>
    <m/>
  </r>
  <r>
    <x v="1"/>
    <m/>
    <n v="970"/>
    <m/>
    <m/>
    <m/>
  </r>
  <r>
    <x v="5"/>
    <m/>
    <n v="52.44"/>
    <m/>
    <m/>
    <m/>
  </r>
  <r>
    <x v="3"/>
    <m/>
    <n v="20"/>
    <m/>
    <m/>
    <m/>
  </r>
  <r>
    <x v="3"/>
    <m/>
    <n v="210"/>
    <m/>
    <m/>
    <m/>
  </r>
  <r>
    <x v="1"/>
    <m/>
    <n v="20"/>
    <m/>
    <m/>
    <m/>
  </r>
  <r>
    <x v="1"/>
    <m/>
    <n v="20"/>
    <m/>
    <m/>
    <m/>
  </r>
  <r>
    <x v="1"/>
    <m/>
    <n v="450"/>
    <m/>
    <m/>
    <m/>
  </r>
  <r>
    <x v="3"/>
    <m/>
    <n v="12"/>
    <m/>
    <m/>
    <m/>
  </r>
  <r>
    <x v="3"/>
    <m/>
    <n v="20"/>
    <m/>
    <m/>
    <m/>
  </r>
  <r>
    <x v="3"/>
    <m/>
    <n v="115"/>
    <m/>
    <m/>
    <m/>
  </r>
  <r>
    <x v="3"/>
    <m/>
    <n v="85"/>
    <m/>
    <m/>
    <m/>
  </r>
  <r>
    <x v="1"/>
    <n v="40"/>
    <m/>
    <m/>
    <m/>
    <m/>
  </r>
  <r>
    <x v="1"/>
    <n v="75"/>
    <m/>
    <m/>
    <m/>
    <m/>
  </r>
  <r>
    <x v="3"/>
    <m/>
    <n v="120"/>
    <m/>
    <m/>
    <m/>
  </r>
  <r>
    <x v="1"/>
    <m/>
    <n v="10"/>
    <m/>
    <m/>
    <m/>
  </r>
  <r>
    <x v="3"/>
    <m/>
    <n v="100"/>
    <m/>
    <m/>
    <m/>
  </r>
  <r>
    <x v="1"/>
    <m/>
    <n v="30"/>
    <m/>
    <m/>
    <m/>
  </r>
  <r>
    <x v="3"/>
    <m/>
    <n v="16"/>
    <m/>
    <m/>
    <m/>
  </r>
  <r>
    <x v="3"/>
    <m/>
    <n v="60"/>
    <m/>
    <m/>
    <m/>
  </r>
  <r>
    <x v="3"/>
    <m/>
    <n v="25"/>
    <m/>
    <m/>
    <m/>
  </r>
  <r>
    <x v="1"/>
    <m/>
    <n v="85"/>
    <m/>
    <m/>
    <m/>
  </r>
  <r>
    <x v="4"/>
    <m/>
    <n v="110"/>
    <m/>
    <m/>
    <m/>
  </r>
  <r>
    <x v="3"/>
    <m/>
    <n v="94"/>
    <m/>
    <m/>
    <m/>
  </r>
  <r>
    <x v="4"/>
    <m/>
    <n v="2.1800000000000002"/>
    <m/>
    <m/>
    <m/>
  </r>
  <r>
    <x v="3"/>
    <m/>
    <n v="80"/>
    <m/>
    <m/>
    <m/>
  </r>
  <r>
    <x v="3"/>
    <m/>
    <n v="14.5"/>
    <m/>
    <m/>
    <m/>
  </r>
  <r>
    <x v="1"/>
    <m/>
    <n v="0"/>
    <m/>
    <m/>
    <m/>
  </r>
  <r>
    <x v="1"/>
    <m/>
    <n v="0"/>
    <m/>
    <m/>
    <m/>
  </r>
  <r>
    <x v="1"/>
    <m/>
    <n v="0"/>
    <m/>
    <m/>
    <m/>
  </r>
  <r>
    <x v="1"/>
    <m/>
    <n v="0"/>
    <m/>
    <m/>
    <m/>
  </r>
  <r>
    <x v="4"/>
    <m/>
    <n v="100"/>
    <m/>
    <m/>
    <m/>
  </r>
  <r>
    <x v="4"/>
    <m/>
    <n v="50"/>
    <m/>
    <m/>
    <m/>
  </r>
  <r>
    <x v="3"/>
    <m/>
    <n v="70"/>
    <m/>
    <m/>
    <m/>
  </r>
  <r>
    <x v="3"/>
    <m/>
    <n v="185"/>
    <m/>
    <m/>
    <m/>
  </r>
  <r>
    <x v="3"/>
    <m/>
    <n v="25"/>
    <m/>
    <m/>
    <m/>
  </r>
  <r>
    <x v="3"/>
    <m/>
    <n v="87"/>
    <m/>
    <m/>
    <m/>
  </r>
  <r>
    <x v="1"/>
    <m/>
    <n v="30"/>
    <m/>
    <m/>
    <m/>
  </r>
  <r>
    <x v="4"/>
    <m/>
    <n v="2.1800000000000002"/>
    <m/>
    <m/>
    <m/>
  </r>
  <r>
    <x v="3"/>
    <m/>
    <n v="83"/>
    <m/>
    <m/>
    <m/>
  </r>
  <r>
    <x v="6"/>
    <n v="100"/>
    <m/>
    <m/>
    <m/>
    <m/>
  </r>
  <r>
    <x v="3"/>
    <m/>
    <n v="82"/>
    <m/>
    <m/>
    <m/>
  </r>
  <r>
    <x v="3"/>
    <n v="9.5"/>
    <m/>
    <m/>
    <m/>
    <m/>
  </r>
  <r>
    <x v="3"/>
    <n v="1268.2"/>
    <m/>
    <m/>
    <m/>
    <m/>
  </r>
  <r>
    <x v="6"/>
    <m/>
    <n v="1380"/>
    <m/>
    <m/>
    <m/>
  </r>
  <r>
    <x v="1"/>
    <m/>
    <n v="50"/>
    <m/>
    <m/>
    <m/>
  </r>
  <r>
    <x v="7"/>
    <m/>
    <n v="1282.3800000000001"/>
    <m/>
    <m/>
    <m/>
  </r>
  <r>
    <x v="6"/>
    <m/>
    <n v="129.71"/>
    <m/>
    <m/>
    <m/>
  </r>
  <r>
    <x v="3"/>
    <m/>
    <n v="95"/>
    <m/>
    <m/>
    <m/>
  </r>
  <r>
    <x v="1"/>
    <m/>
    <n v="334.19"/>
    <m/>
    <m/>
    <m/>
  </r>
  <r>
    <x v="3"/>
    <m/>
    <n v="57.8"/>
    <m/>
    <m/>
    <m/>
  </r>
  <r>
    <x v="7"/>
    <m/>
    <n v="45"/>
    <m/>
    <m/>
    <m/>
  </r>
  <r>
    <x v="3"/>
    <m/>
    <n v="15"/>
    <m/>
    <m/>
    <m/>
  </r>
  <r>
    <x v="3"/>
    <m/>
    <n v="120"/>
    <m/>
    <m/>
    <m/>
  </r>
  <r>
    <x v="3"/>
    <m/>
    <n v="20"/>
    <m/>
    <m/>
    <m/>
  </r>
  <r>
    <x v="3"/>
    <m/>
    <n v="98"/>
    <m/>
    <m/>
    <m/>
  </r>
  <r>
    <x v="2"/>
    <m/>
    <n v="110"/>
    <m/>
    <m/>
    <m/>
  </r>
  <r>
    <x v="4"/>
    <m/>
    <n v="250"/>
    <m/>
    <m/>
    <m/>
  </r>
  <r>
    <x v="3"/>
    <m/>
    <n v="120"/>
    <m/>
    <m/>
    <m/>
  </r>
  <r>
    <x v="6"/>
    <m/>
    <n v="6.5"/>
    <m/>
    <m/>
    <m/>
  </r>
  <r>
    <x v="3"/>
    <m/>
    <n v="25"/>
    <m/>
    <m/>
    <m/>
  </r>
  <r>
    <x v="3"/>
    <m/>
    <n v="271.55"/>
    <m/>
    <m/>
    <m/>
  </r>
  <r>
    <x v="3"/>
    <m/>
    <n v="106"/>
    <m/>
    <m/>
    <m/>
  </r>
  <r>
    <x v="3"/>
    <m/>
    <n v="116"/>
    <m/>
    <m/>
    <m/>
  </r>
  <r>
    <x v="1"/>
    <m/>
    <n v="50"/>
    <m/>
    <m/>
    <m/>
  </r>
  <r>
    <x v="1"/>
    <m/>
    <n v="200"/>
    <m/>
    <m/>
    <m/>
  </r>
  <r>
    <x v="1"/>
    <m/>
    <n v="0"/>
    <m/>
    <m/>
    <m/>
  </r>
  <r>
    <x v="1"/>
    <m/>
    <n v="0"/>
    <m/>
    <m/>
    <m/>
  </r>
  <r>
    <x v="3"/>
    <m/>
    <n v="95"/>
    <m/>
    <m/>
    <m/>
  </r>
  <r>
    <x v="3"/>
    <m/>
    <n v="94.2"/>
    <m/>
    <m/>
    <m/>
  </r>
  <r>
    <x v="3"/>
    <m/>
    <n v="20"/>
    <m/>
    <m/>
    <m/>
  </r>
  <r>
    <x v="1"/>
    <m/>
    <n v="0"/>
    <m/>
    <m/>
    <m/>
  </r>
  <r>
    <x v="1"/>
    <m/>
    <n v="0"/>
    <m/>
    <m/>
    <m/>
  </r>
  <r>
    <x v="3"/>
    <m/>
    <n v="36"/>
    <m/>
    <m/>
    <m/>
  </r>
  <r>
    <x v="3"/>
    <m/>
    <n v="21"/>
    <m/>
    <m/>
    <m/>
  </r>
  <r>
    <x v="3"/>
    <m/>
    <n v="8"/>
    <m/>
    <m/>
    <m/>
  </r>
  <r>
    <x v="3"/>
    <m/>
    <n v="110"/>
    <m/>
    <m/>
    <m/>
  </r>
  <r>
    <x v="3"/>
    <m/>
    <n v="20"/>
    <m/>
    <m/>
    <m/>
  </r>
  <r>
    <x v="1"/>
    <m/>
    <n v="0"/>
    <m/>
    <m/>
    <m/>
  </r>
  <r>
    <x v="1"/>
    <m/>
    <n v="50"/>
    <m/>
    <m/>
    <m/>
  </r>
  <r>
    <x v="3"/>
    <m/>
    <n v="108"/>
    <m/>
    <m/>
    <m/>
  </r>
  <r>
    <x v="8"/>
    <m/>
    <n v="0"/>
    <m/>
    <m/>
    <m/>
  </r>
  <r>
    <x v="1"/>
    <n v="50"/>
    <m/>
    <m/>
    <m/>
    <m/>
  </r>
  <r>
    <x v="8"/>
    <n v="498"/>
    <m/>
    <m/>
    <m/>
    <m/>
  </r>
  <r>
    <x v="8"/>
    <n v="100"/>
    <m/>
    <m/>
    <m/>
    <m/>
  </r>
  <r>
    <x v="1"/>
    <n v="238"/>
    <m/>
    <m/>
    <m/>
    <m/>
  </r>
  <r>
    <x v="3"/>
    <m/>
    <n v="50"/>
    <m/>
    <m/>
    <m/>
  </r>
  <r>
    <x v="3"/>
    <m/>
    <n v="264.5"/>
    <m/>
    <m/>
    <m/>
  </r>
  <r>
    <x v="3"/>
    <m/>
    <n v="130"/>
    <m/>
    <m/>
    <m/>
  </r>
  <r>
    <x v="7"/>
    <m/>
    <n v="7.25"/>
    <m/>
    <m/>
    <m/>
  </r>
  <r>
    <x v="3"/>
    <m/>
    <n v="20"/>
    <m/>
    <m/>
    <m/>
  </r>
  <r>
    <x v="3"/>
    <m/>
    <n v="24"/>
    <m/>
    <m/>
    <m/>
  </r>
  <r>
    <x v="6"/>
    <m/>
    <n v="800"/>
    <m/>
    <m/>
    <m/>
  </r>
  <r>
    <x v="3"/>
    <m/>
    <n v="10"/>
    <m/>
    <m/>
    <m/>
  </r>
  <r>
    <x v="6"/>
    <m/>
    <n v="86"/>
    <m/>
    <m/>
    <m/>
  </r>
  <r>
    <x v="2"/>
    <m/>
    <n v="8.5"/>
    <m/>
    <m/>
    <m/>
  </r>
  <r>
    <x v="0"/>
    <m/>
    <m/>
    <m/>
    <m/>
    <m/>
  </r>
  <r>
    <x v="0"/>
    <m/>
    <m/>
    <m/>
    <m/>
    <m/>
  </r>
  <r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4" indent="0" outline="1" outlineData="1" multipleFieldFilters="0">
  <location ref="B3:G11" firstHeaderRow="0" firstDataRow="1" firstDataCol="1"/>
  <pivotFields count="6">
    <pivotField axis="axisRow" showAll="0">
      <items count="12">
        <item h="1" x="6"/>
        <item x="7"/>
        <item x="5"/>
        <item x="4"/>
        <item x="1"/>
        <item x="3"/>
        <item x="8"/>
        <item h="1" x="0"/>
        <item m="1" x="10"/>
        <item x="2"/>
        <item m="1"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me von Barkasse" fld="1" baseField="0" baseItem="0"/>
    <dataField name="Summe von VOBA" fld="2" baseField="0" baseItem="0"/>
    <dataField name="Summe von VOBA TgK 630041601" fld="3" baseField="0" baseItem="0"/>
    <dataField name="Summe von KSK" fld="4" baseField="0" baseItem="0"/>
    <dataField name="Summe von KSK SpB 3001734183" fld="5" baseField="0" baseItem="0"/>
  </dataFields>
  <formats count="3"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4" indent="0" outline="1" outlineData="1" multipleFieldFilters="0">
  <location ref="B16:G25" firstHeaderRow="0" firstDataRow="1" firstDataCol="1"/>
  <pivotFields count="6">
    <pivotField axis="axisRow" showAll="0">
      <items count="14">
        <item h="1" x="6"/>
        <item x="5"/>
        <item x="4"/>
        <item m="1" x="12"/>
        <item x="2"/>
        <item x="0"/>
        <item x="1"/>
        <item x="3"/>
        <item x="8"/>
        <item m="1" x="11"/>
        <item h="1" m="1" x="10"/>
        <item x="7"/>
        <item h="1" m="1"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9">
    <i>
      <x v="1"/>
    </i>
    <i>
      <x v="2"/>
    </i>
    <i>
      <x v="4"/>
    </i>
    <i>
      <x v="5"/>
    </i>
    <i>
      <x v="6"/>
    </i>
    <i>
      <x v="7"/>
    </i>
    <i>
      <x v="8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me von Barkasse" fld="1" baseField="0" baseItem="0"/>
    <dataField name="Summe von VOBA" fld="2" baseField="0" baseItem="0"/>
    <dataField name="Summe von VOBA TgK 630041601" fld="3" baseField="0" baseItem="0"/>
    <dataField name="Summe von KSK" fld="4" baseField="0" baseItem="0"/>
    <dataField name="Summe von KSK SpB 3001734183" fld="5" baseField="0" baseItem="0"/>
  </dataFields>
  <formats count="3"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Larissa-Design">
  <a:themeElements>
    <a:clrScheme name="Larissa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Larissa-Design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Larissa-Desig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J175"/>
  <sheetViews>
    <sheetView showGridLines="0" tabSelected="1" zoomScaleNormal="100" workbookViewId="0">
      <pane ySplit="2" topLeftCell="A49" activePane="bottomLeft" state="frozen"/>
      <selection pane="bottomLeft" activeCell="F68" sqref="F68"/>
    </sheetView>
  </sheetViews>
  <sheetFormatPr baseColWidth="10" defaultColWidth="10.88671875" defaultRowHeight="15" customHeight="1" x14ac:dyDescent="0.3"/>
  <cols>
    <col min="1" max="1" width="12.44140625" style="1" customWidth="1"/>
    <col min="2" max="2" width="4" style="1" bestFit="1" customWidth="1"/>
    <col min="3" max="3" width="40.88671875" style="1" bestFit="1" customWidth="1"/>
    <col min="4" max="4" width="14" style="1" bestFit="1" customWidth="1"/>
    <col min="5" max="5" width="13.44140625" style="1" bestFit="1" customWidth="1"/>
    <col min="6" max="6" width="14.6640625" style="1" bestFit="1" customWidth="1"/>
    <col min="7" max="7" width="17.6640625" style="1" customWidth="1"/>
    <col min="8" max="8" width="12.5546875" style="1" customWidth="1"/>
    <col min="9" max="9" width="10.88671875" style="1" customWidth="1"/>
    <col min="10" max="10" width="17.44140625" style="1" bestFit="1" customWidth="1"/>
    <col min="11" max="244" width="10.88671875" style="1" customWidth="1"/>
  </cols>
  <sheetData>
    <row r="1" spans="1:10" s="1" customFormat="1" ht="15" customHeight="1" x14ac:dyDescent="0.3">
      <c r="A1" s="86" t="s">
        <v>1</v>
      </c>
      <c r="B1" s="87"/>
      <c r="C1" s="87"/>
      <c r="D1" s="87"/>
      <c r="E1" s="87"/>
      <c r="F1" s="87"/>
      <c r="G1" s="87"/>
      <c r="H1" s="87"/>
      <c r="I1" s="2"/>
      <c r="J1" s="3" t="s">
        <v>0</v>
      </c>
    </row>
    <row r="2" spans="1:10" s="1" customFormat="1" ht="29.25" customHeight="1" x14ac:dyDescent="0.3">
      <c r="A2" s="5" t="s">
        <v>4</v>
      </c>
      <c r="B2" s="5" t="s">
        <v>5</v>
      </c>
      <c r="C2" s="5" t="s">
        <v>6</v>
      </c>
      <c r="D2" s="5" t="s">
        <v>7</v>
      </c>
      <c r="E2" s="38" t="s">
        <v>8</v>
      </c>
      <c r="F2" s="6" t="s">
        <v>9</v>
      </c>
      <c r="G2" s="6" t="s">
        <v>10</v>
      </c>
      <c r="H2" s="6" t="s">
        <v>11</v>
      </c>
      <c r="I2" s="2"/>
      <c r="J2" s="3" t="s">
        <v>3</v>
      </c>
    </row>
    <row r="3" spans="1:10" s="1" customFormat="1" ht="15" customHeight="1" x14ac:dyDescent="0.3">
      <c r="A3" s="9"/>
      <c r="B3" s="10"/>
      <c r="C3" s="46" t="s">
        <v>44</v>
      </c>
      <c r="D3" s="11"/>
      <c r="E3" s="12">
        <v>0</v>
      </c>
      <c r="F3" s="26">
        <v>583.69000000002416</v>
      </c>
      <c r="G3" s="26">
        <v>2000.5</v>
      </c>
      <c r="H3" s="26">
        <v>4050.9699999999989</v>
      </c>
      <c r="I3" s="2"/>
      <c r="J3" s="3" t="s">
        <v>13</v>
      </c>
    </row>
    <row r="4" spans="1:10" s="1" customFormat="1" ht="15" customHeight="1" x14ac:dyDescent="0.3">
      <c r="A4" s="14">
        <v>46030</v>
      </c>
      <c r="B4" s="48">
        <v>1</v>
      </c>
      <c r="C4" s="3" t="s">
        <v>46</v>
      </c>
      <c r="D4" s="3" t="s">
        <v>0</v>
      </c>
      <c r="E4" s="19"/>
      <c r="F4" s="20"/>
      <c r="G4" s="17"/>
      <c r="H4" s="80">
        <v>86</v>
      </c>
      <c r="I4" s="2"/>
      <c r="J4" s="2" t="s">
        <v>18</v>
      </c>
    </row>
    <row r="5" spans="1:10" s="1" customFormat="1" ht="15" customHeight="1" x14ac:dyDescent="0.3">
      <c r="A5" s="14">
        <v>46036</v>
      </c>
      <c r="B5" s="48">
        <v>2</v>
      </c>
      <c r="C5" s="81" t="s">
        <v>47</v>
      </c>
      <c r="D5" s="2" t="s">
        <v>26</v>
      </c>
      <c r="E5" s="19"/>
      <c r="F5" s="20">
        <v>26.1</v>
      </c>
      <c r="G5" s="17"/>
      <c r="H5" s="17"/>
      <c r="I5" s="2"/>
      <c r="J5" s="2" t="s">
        <v>14</v>
      </c>
    </row>
    <row r="6" spans="1:10" s="1" customFormat="1" ht="15" customHeight="1" x14ac:dyDescent="0.3">
      <c r="A6" s="14">
        <v>46041</v>
      </c>
      <c r="B6" s="48">
        <v>3</v>
      </c>
      <c r="C6" s="81" t="s">
        <v>54</v>
      </c>
      <c r="D6" s="18" t="s">
        <v>27</v>
      </c>
      <c r="E6" s="19"/>
      <c r="F6" s="20">
        <v>3000</v>
      </c>
      <c r="G6" s="17"/>
      <c r="H6" s="17"/>
      <c r="I6" s="2"/>
      <c r="J6" s="2" t="s">
        <v>19</v>
      </c>
    </row>
    <row r="7" spans="1:10" s="1" customFormat="1" ht="15" customHeight="1" x14ac:dyDescent="0.3">
      <c r="A7" s="14">
        <v>46048</v>
      </c>
      <c r="B7" s="48">
        <v>4</v>
      </c>
      <c r="C7" s="81" t="s">
        <v>46</v>
      </c>
      <c r="D7" s="3" t="s">
        <v>0</v>
      </c>
      <c r="E7" s="19"/>
      <c r="F7" s="20"/>
      <c r="G7" s="17"/>
      <c r="H7" s="17">
        <v>85</v>
      </c>
      <c r="I7" s="2"/>
      <c r="J7" s="2" t="s">
        <v>20</v>
      </c>
    </row>
    <row r="8" spans="1:10" s="1" customFormat="1" ht="15" customHeight="1" x14ac:dyDescent="0.3">
      <c r="A8" s="14">
        <v>46058</v>
      </c>
      <c r="B8" s="48">
        <v>5</v>
      </c>
      <c r="C8" s="3" t="s">
        <v>59</v>
      </c>
      <c r="D8" s="18" t="s">
        <v>12</v>
      </c>
      <c r="E8" s="19"/>
      <c r="F8" s="20">
        <v>400</v>
      </c>
      <c r="G8" s="17"/>
      <c r="H8" s="17"/>
      <c r="I8" s="2"/>
      <c r="J8" s="2" t="s">
        <v>21</v>
      </c>
    </row>
    <row r="9" spans="1:10" s="1" customFormat="1" ht="15" customHeight="1" x14ac:dyDescent="0.3">
      <c r="A9" s="14">
        <v>46058</v>
      </c>
      <c r="B9" s="48">
        <v>6</v>
      </c>
      <c r="C9" s="81" t="s">
        <v>60</v>
      </c>
      <c r="D9" s="18" t="s">
        <v>12</v>
      </c>
      <c r="E9" s="19"/>
      <c r="F9" s="20">
        <v>700</v>
      </c>
      <c r="G9" s="17"/>
      <c r="H9" s="17"/>
      <c r="I9" s="2"/>
      <c r="J9" s="2" t="s">
        <v>22</v>
      </c>
    </row>
    <row r="10" spans="1:10" s="1" customFormat="1" ht="15" customHeight="1" x14ac:dyDescent="0.3">
      <c r="A10" s="14">
        <v>46062</v>
      </c>
      <c r="B10" s="48">
        <v>7</v>
      </c>
      <c r="C10" s="81" t="s">
        <v>46</v>
      </c>
      <c r="D10" s="3" t="s">
        <v>0</v>
      </c>
      <c r="E10" s="19"/>
      <c r="F10" s="20"/>
      <c r="G10" s="17"/>
      <c r="H10" s="17">
        <v>98</v>
      </c>
      <c r="I10" s="2"/>
      <c r="J10" s="2" t="s">
        <v>23</v>
      </c>
    </row>
    <row r="11" spans="1:10" s="1" customFormat="1" ht="15" customHeight="1" x14ac:dyDescent="0.3">
      <c r="A11" s="14">
        <v>46069</v>
      </c>
      <c r="B11" s="48">
        <v>8</v>
      </c>
      <c r="C11" s="3" t="s">
        <v>65</v>
      </c>
      <c r="D11" s="3" t="s">
        <v>0</v>
      </c>
      <c r="E11" s="19"/>
      <c r="F11" s="20"/>
      <c r="G11" s="17"/>
      <c r="H11" s="17">
        <v>20</v>
      </c>
      <c r="I11" s="2"/>
      <c r="J11" s="2" t="s">
        <v>12</v>
      </c>
    </row>
    <row r="12" spans="1:10" s="1" customFormat="1" ht="15" customHeight="1" x14ac:dyDescent="0.3">
      <c r="A12" s="14">
        <v>46071</v>
      </c>
      <c r="B12" s="48">
        <v>9</v>
      </c>
      <c r="C12" s="81" t="s">
        <v>46</v>
      </c>
      <c r="D12" s="3" t="s">
        <v>0</v>
      </c>
      <c r="E12" s="19"/>
      <c r="F12" s="20"/>
      <c r="G12" s="17"/>
      <c r="H12" s="17">
        <v>12</v>
      </c>
      <c r="I12" s="2"/>
      <c r="J12" s="2" t="s">
        <v>24</v>
      </c>
    </row>
    <row r="13" spans="1:10" s="1" customFormat="1" ht="15" customHeight="1" x14ac:dyDescent="0.3">
      <c r="A13" s="14">
        <v>46076</v>
      </c>
      <c r="B13" s="48">
        <v>10</v>
      </c>
      <c r="C13" s="81" t="s">
        <v>46</v>
      </c>
      <c r="D13" s="3" t="s">
        <v>0</v>
      </c>
      <c r="E13" s="19"/>
      <c r="F13" s="20"/>
      <c r="G13" s="17"/>
      <c r="H13" s="17">
        <v>107</v>
      </c>
      <c r="I13" s="2"/>
      <c r="J13" s="2" t="s">
        <v>25</v>
      </c>
    </row>
    <row r="14" spans="1:10" s="1" customFormat="1" ht="15" customHeight="1" x14ac:dyDescent="0.3">
      <c r="A14" s="14">
        <v>46083</v>
      </c>
      <c r="B14" s="48">
        <v>11</v>
      </c>
      <c r="C14" s="3" t="s">
        <v>66</v>
      </c>
      <c r="D14" s="18" t="s">
        <v>12</v>
      </c>
      <c r="E14" s="19"/>
      <c r="F14" s="20"/>
      <c r="G14" s="17"/>
      <c r="H14" s="17">
        <v>20</v>
      </c>
      <c r="I14" s="2"/>
      <c r="J14" s="2" t="s">
        <v>26</v>
      </c>
    </row>
    <row r="15" spans="1:10" s="1" customFormat="1" ht="15" customHeight="1" x14ac:dyDescent="0.3">
      <c r="A15" s="14">
        <v>46083</v>
      </c>
      <c r="B15" s="48">
        <v>12</v>
      </c>
      <c r="C15" s="3" t="s">
        <v>67</v>
      </c>
      <c r="D15" s="3" t="s">
        <v>0</v>
      </c>
      <c r="E15" s="19"/>
      <c r="F15" s="20"/>
      <c r="G15" s="17"/>
      <c r="H15" s="17">
        <v>50</v>
      </c>
      <c r="I15" s="2"/>
      <c r="J15" s="2" t="s">
        <v>27</v>
      </c>
    </row>
    <row r="16" spans="1:10" s="1" customFormat="1" ht="15" customHeight="1" x14ac:dyDescent="0.3">
      <c r="A16" s="14">
        <v>46090</v>
      </c>
      <c r="B16" s="48">
        <v>13</v>
      </c>
      <c r="C16" s="81" t="s">
        <v>46</v>
      </c>
      <c r="D16" s="3" t="s">
        <v>0</v>
      </c>
      <c r="E16" s="19"/>
      <c r="F16" s="20"/>
      <c r="G16" s="17"/>
      <c r="H16" s="17">
        <v>105</v>
      </c>
      <c r="I16" s="2"/>
      <c r="J16" s="2" t="s">
        <v>28</v>
      </c>
    </row>
    <row r="17" spans="1:10" s="1" customFormat="1" ht="15" customHeight="1" x14ac:dyDescent="0.3">
      <c r="A17" s="14">
        <v>46097</v>
      </c>
      <c r="B17" s="48">
        <v>14</v>
      </c>
      <c r="C17" s="81" t="s">
        <v>81</v>
      </c>
      <c r="D17" s="3" t="s">
        <v>0</v>
      </c>
      <c r="E17" s="19"/>
      <c r="F17" s="20">
        <v>10</v>
      </c>
      <c r="G17" s="17"/>
      <c r="H17" s="17"/>
      <c r="I17" s="2"/>
      <c r="J17" s="2" t="s">
        <v>29</v>
      </c>
    </row>
    <row r="18" spans="1:10" s="1" customFormat="1" ht="15" customHeight="1" x14ac:dyDescent="0.3">
      <c r="A18" s="14">
        <v>46097</v>
      </c>
      <c r="B18" s="48" t="s">
        <v>85</v>
      </c>
      <c r="C18" s="3" t="s">
        <v>75</v>
      </c>
      <c r="D18" s="3" t="s">
        <v>0</v>
      </c>
      <c r="E18" s="19"/>
      <c r="F18" s="20"/>
      <c r="G18" s="17"/>
      <c r="H18" s="17">
        <v>20</v>
      </c>
      <c r="I18" s="2"/>
      <c r="J18" s="2" t="s">
        <v>32</v>
      </c>
    </row>
    <row r="19" spans="1:10" s="1" customFormat="1" ht="15" customHeight="1" x14ac:dyDescent="0.3">
      <c r="A19" s="14">
        <v>46104</v>
      </c>
      <c r="B19" s="48">
        <v>15</v>
      </c>
      <c r="C19" s="81" t="s">
        <v>46</v>
      </c>
      <c r="D19" s="3" t="s">
        <v>0</v>
      </c>
      <c r="E19" s="19"/>
      <c r="F19" s="20">
        <v>114</v>
      </c>
      <c r="G19" s="17"/>
      <c r="H19" s="17"/>
      <c r="I19" s="2"/>
      <c r="J19" s="2" t="s">
        <v>30</v>
      </c>
    </row>
    <row r="20" spans="1:10" s="1" customFormat="1" ht="15" customHeight="1" x14ac:dyDescent="0.3">
      <c r="A20" s="14">
        <v>46104</v>
      </c>
      <c r="B20" s="48">
        <v>16</v>
      </c>
      <c r="C20" s="3" t="s">
        <v>76</v>
      </c>
      <c r="D20" s="18" t="s">
        <v>12</v>
      </c>
      <c r="E20" s="19"/>
      <c r="F20" s="20"/>
      <c r="G20" s="17"/>
      <c r="H20" s="17">
        <v>52</v>
      </c>
      <c r="I20" s="2"/>
      <c r="J20" s="2"/>
    </row>
    <row r="21" spans="1:10" s="1" customFormat="1" ht="15" customHeight="1" x14ac:dyDescent="0.3">
      <c r="A21" s="14">
        <v>46108</v>
      </c>
      <c r="B21" s="48">
        <v>17</v>
      </c>
      <c r="C21" s="81" t="s">
        <v>86</v>
      </c>
      <c r="D21" s="18" t="s">
        <v>12</v>
      </c>
      <c r="E21" s="19"/>
      <c r="F21" s="20">
        <v>180</v>
      </c>
      <c r="G21" s="17"/>
      <c r="H21" s="17"/>
      <c r="I21" s="2"/>
      <c r="J21" s="2"/>
    </row>
    <row r="22" spans="1:10" s="1" customFormat="1" ht="15" customHeight="1" x14ac:dyDescent="0.3">
      <c r="A22" s="14">
        <v>46108</v>
      </c>
      <c r="B22" s="48">
        <v>18</v>
      </c>
      <c r="C22" s="81" t="s">
        <v>87</v>
      </c>
      <c r="D22" s="18" t="s">
        <v>12</v>
      </c>
      <c r="E22" s="19"/>
      <c r="F22" s="20">
        <v>360</v>
      </c>
      <c r="G22" s="17"/>
      <c r="H22" s="17"/>
      <c r="I22" s="2"/>
      <c r="J22" s="2"/>
    </row>
    <row r="23" spans="1:10" s="1" customFormat="1" ht="15" customHeight="1" x14ac:dyDescent="0.3">
      <c r="A23" s="14">
        <v>46108</v>
      </c>
      <c r="B23" s="48">
        <v>19</v>
      </c>
      <c r="C23" s="3" t="s">
        <v>89</v>
      </c>
      <c r="D23" s="3" t="s">
        <v>13</v>
      </c>
      <c r="E23" s="19"/>
      <c r="F23" s="20"/>
      <c r="G23" s="20"/>
      <c r="H23" s="20">
        <v>0.99</v>
      </c>
      <c r="I23" s="2"/>
      <c r="J23" s="2"/>
    </row>
    <row r="24" spans="1:10" s="1" customFormat="1" ht="15" customHeight="1" x14ac:dyDescent="0.3">
      <c r="A24" s="14">
        <v>46111</v>
      </c>
      <c r="B24" s="48">
        <v>20</v>
      </c>
      <c r="C24" s="37" t="s">
        <v>77</v>
      </c>
      <c r="D24" s="3" t="s">
        <v>0</v>
      </c>
      <c r="E24" s="16"/>
      <c r="F24" s="20"/>
      <c r="G24" s="17"/>
      <c r="H24" s="17">
        <v>937</v>
      </c>
      <c r="I24" s="2"/>
      <c r="J24" s="2"/>
    </row>
    <row r="25" spans="1:10" s="1" customFormat="1" ht="15" customHeight="1" x14ac:dyDescent="0.3">
      <c r="A25" s="14">
        <v>46111</v>
      </c>
      <c r="B25" s="48">
        <v>21</v>
      </c>
      <c r="C25" s="3" t="s">
        <v>78</v>
      </c>
      <c r="D25" s="3" t="s">
        <v>0</v>
      </c>
      <c r="E25" s="19"/>
      <c r="F25" s="17"/>
      <c r="G25" s="17"/>
      <c r="H25" s="17">
        <v>302.72000000000003</v>
      </c>
      <c r="I25" s="2"/>
      <c r="J25" s="2"/>
    </row>
    <row r="26" spans="1:10" s="1" customFormat="1" ht="15" customHeight="1" x14ac:dyDescent="0.3">
      <c r="A26" s="14">
        <v>46113</v>
      </c>
      <c r="B26" s="48">
        <v>22</v>
      </c>
      <c r="C26" s="3" t="s">
        <v>80</v>
      </c>
      <c r="D26" s="3" t="s">
        <v>0</v>
      </c>
      <c r="E26" s="20"/>
      <c r="F26" s="20"/>
      <c r="G26" s="17"/>
      <c r="H26" s="17">
        <v>4.93</v>
      </c>
      <c r="I26" s="2"/>
      <c r="J26" s="2"/>
    </row>
    <row r="27" spans="1:10" s="1" customFormat="1" ht="15" customHeight="1" x14ac:dyDescent="0.3">
      <c r="A27" s="14">
        <v>46113</v>
      </c>
      <c r="B27" s="48">
        <v>23</v>
      </c>
      <c r="C27" s="37" t="s">
        <v>46</v>
      </c>
      <c r="D27" s="3" t="s">
        <v>0</v>
      </c>
      <c r="E27" s="19"/>
      <c r="F27" s="20">
        <v>69.5</v>
      </c>
      <c r="G27" s="17"/>
      <c r="H27" s="17"/>
      <c r="I27" s="2"/>
      <c r="J27" s="2"/>
    </row>
    <row r="28" spans="1:10" s="1" customFormat="1" ht="15" customHeight="1" x14ac:dyDescent="0.3">
      <c r="A28" s="14">
        <v>46119</v>
      </c>
      <c r="B28" s="15">
        <v>24</v>
      </c>
      <c r="C28" s="3" t="s">
        <v>99</v>
      </c>
      <c r="D28" s="3" t="s">
        <v>0</v>
      </c>
      <c r="E28" s="19"/>
      <c r="F28" s="20">
        <v>22.4</v>
      </c>
      <c r="G28" s="17"/>
      <c r="H28" s="17"/>
      <c r="I28" s="2"/>
      <c r="J28" s="2"/>
    </row>
    <row r="29" spans="1:10" s="1" customFormat="1" ht="15" customHeight="1" x14ac:dyDescent="0.3">
      <c r="A29" s="14">
        <v>46120</v>
      </c>
      <c r="B29" s="15">
        <v>25</v>
      </c>
      <c r="C29" s="3" t="s">
        <v>100</v>
      </c>
      <c r="D29" s="2" t="s">
        <v>24</v>
      </c>
      <c r="E29" s="19"/>
      <c r="F29" s="20">
        <v>250</v>
      </c>
      <c r="G29" s="17"/>
      <c r="H29" s="17"/>
      <c r="I29" s="2"/>
      <c r="J29" s="2"/>
    </row>
    <row r="30" spans="1:10" s="1" customFormat="1" ht="15" customHeight="1" x14ac:dyDescent="0.3">
      <c r="A30" s="14">
        <v>46121</v>
      </c>
      <c r="B30" s="15">
        <v>26</v>
      </c>
      <c r="C30" s="3" t="s">
        <v>101</v>
      </c>
      <c r="D30" s="2" t="s">
        <v>26</v>
      </c>
      <c r="E30" s="19"/>
      <c r="F30" s="20">
        <v>22.19</v>
      </c>
      <c r="G30" s="17"/>
      <c r="H30" s="17"/>
      <c r="I30" s="2"/>
      <c r="J30" s="2"/>
    </row>
    <row r="31" spans="1:10" s="1" customFormat="1" ht="15" customHeight="1" x14ac:dyDescent="0.3">
      <c r="A31" s="14">
        <v>46121</v>
      </c>
      <c r="B31" s="15">
        <v>27</v>
      </c>
      <c r="C31" s="3" t="s">
        <v>102</v>
      </c>
      <c r="D31" s="18" t="s">
        <v>12</v>
      </c>
      <c r="E31" s="19"/>
      <c r="F31" s="20">
        <v>50</v>
      </c>
      <c r="G31" s="17"/>
      <c r="H31" s="17"/>
      <c r="I31" s="2"/>
      <c r="J31" s="2"/>
    </row>
    <row r="32" spans="1:10" s="1" customFormat="1" ht="15" customHeight="1" x14ac:dyDescent="0.3">
      <c r="A32" s="14">
        <v>46129</v>
      </c>
      <c r="B32" s="15">
        <v>28</v>
      </c>
      <c r="C32" s="15" t="s">
        <v>104</v>
      </c>
      <c r="D32" s="3" t="s">
        <v>0</v>
      </c>
      <c r="E32" s="16"/>
      <c r="F32" s="17"/>
      <c r="G32" s="17"/>
      <c r="H32" s="17">
        <v>330</v>
      </c>
      <c r="I32" s="2"/>
      <c r="J32" s="2"/>
    </row>
    <row r="33" spans="1:10" s="1" customFormat="1" ht="15" customHeight="1" x14ac:dyDescent="0.3">
      <c r="A33" s="14">
        <v>46139</v>
      </c>
      <c r="B33" s="15">
        <v>29</v>
      </c>
      <c r="C33" s="15" t="s">
        <v>105</v>
      </c>
      <c r="D33" s="3" t="s">
        <v>0</v>
      </c>
      <c r="E33" s="19"/>
      <c r="F33" s="20">
        <v>128.5</v>
      </c>
      <c r="G33" s="17"/>
      <c r="H33" s="17"/>
      <c r="I33" s="2"/>
      <c r="J33" s="2"/>
    </row>
    <row r="34" spans="1:10" s="1" customFormat="1" ht="15" customHeight="1" x14ac:dyDescent="0.3">
      <c r="A34" s="14">
        <v>46146</v>
      </c>
      <c r="B34" s="15">
        <v>30</v>
      </c>
      <c r="C34" s="15" t="s">
        <v>46</v>
      </c>
      <c r="D34" s="3" t="s">
        <v>0</v>
      </c>
      <c r="E34" s="16"/>
      <c r="F34" s="17"/>
      <c r="G34" s="17"/>
      <c r="H34" s="17">
        <v>100</v>
      </c>
      <c r="I34" s="2"/>
      <c r="J34" s="2"/>
    </row>
    <row r="35" spans="1:10" s="1" customFormat="1" ht="15" customHeight="1" x14ac:dyDescent="0.3">
      <c r="A35" s="14">
        <v>46146</v>
      </c>
      <c r="B35" s="15">
        <v>31</v>
      </c>
      <c r="C35" s="15" t="s">
        <v>107</v>
      </c>
      <c r="D35" s="3" t="s">
        <v>0</v>
      </c>
      <c r="E35" s="16"/>
      <c r="F35" s="17"/>
      <c r="G35" s="17"/>
      <c r="H35" s="17">
        <v>10</v>
      </c>
      <c r="I35" s="2"/>
      <c r="J35" s="2"/>
    </row>
    <row r="36" spans="1:10" s="1" customFormat="1" ht="15" customHeight="1" x14ac:dyDescent="0.3">
      <c r="A36" s="14">
        <v>46146</v>
      </c>
      <c r="B36" s="15">
        <v>32</v>
      </c>
      <c r="C36" s="15" t="s">
        <v>81</v>
      </c>
      <c r="D36" s="3" t="s">
        <v>0</v>
      </c>
      <c r="E36" s="16"/>
      <c r="F36" s="17"/>
      <c r="G36" s="17"/>
      <c r="H36" s="17">
        <v>42.5</v>
      </c>
      <c r="I36" s="2"/>
      <c r="J36" s="2"/>
    </row>
    <row r="37" spans="1:10" s="1" customFormat="1" ht="15" customHeight="1" x14ac:dyDescent="0.3">
      <c r="A37" s="14">
        <v>46146</v>
      </c>
      <c r="B37" s="15">
        <v>33</v>
      </c>
      <c r="C37" s="15" t="s">
        <v>108</v>
      </c>
      <c r="D37" s="3" t="s">
        <v>0</v>
      </c>
      <c r="E37" s="16"/>
      <c r="F37" s="17"/>
      <c r="G37" s="17"/>
      <c r="H37" s="17">
        <v>20</v>
      </c>
      <c r="I37" s="2"/>
      <c r="J37" s="2"/>
    </row>
    <row r="38" spans="1:10" s="1" customFormat="1" ht="15" customHeight="1" x14ac:dyDescent="0.3">
      <c r="A38" s="14">
        <v>46150</v>
      </c>
      <c r="B38" s="15">
        <v>34</v>
      </c>
      <c r="C38" s="15" t="s">
        <v>111</v>
      </c>
      <c r="D38" s="3" t="s">
        <v>0</v>
      </c>
      <c r="E38" s="19"/>
      <c r="G38" s="17"/>
      <c r="H38" s="20">
        <v>28</v>
      </c>
      <c r="I38" s="2"/>
      <c r="J38" s="2"/>
    </row>
    <row r="39" spans="1:10" s="1" customFormat="1" ht="15" customHeight="1" x14ac:dyDescent="0.3">
      <c r="A39" s="14">
        <v>46153</v>
      </c>
      <c r="B39" s="48">
        <v>35</v>
      </c>
      <c r="C39" s="15" t="s">
        <v>112</v>
      </c>
      <c r="D39" s="3" t="s">
        <v>0</v>
      </c>
      <c r="E39" s="16"/>
      <c r="F39" s="17"/>
      <c r="G39" s="17"/>
      <c r="H39" s="17">
        <v>20</v>
      </c>
      <c r="I39" s="2"/>
      <c r="J39" s="2"/>
    </row>
    <row r="40" spans="1:10" s="1" customFormat="1" ht="15" customHeight="1" x14ac:dyDescent="0.3">
      <c r="A40" s="14">
        <v>46160</v>
      </c>
      <c r="B40" s="15">
        <v>36</v>
      </c>
      <c r="C40" s="37" t="s">
        <v>113</v>
      </c>
      <c r="D40" s="3" t="s">
        <v>0</v>
      </c>
      <c r="E40" s="16"/>
      <c r="F40" s="17">
        <v>30</v>
      </c>
      <c r="G40" s="17"/>
      <c r="H40" s="17"/>
      <c r="I40" s="2"/>
      <c r="J40" s="2"/>
    </row>
    <row r="41" spans="1:10" s="1" customFormat="1" ht="15" customHeight="1" x14ac:dyDescent="0.3">
      <c r="A41" s="14">
        <v>46168</v>
      </c>
      <c r="B41" s="15">
        <v>37</v>
      </c>
      <c r="C41" s="3" t="s">
        <v>114</v>
      </c>
      <c r="D41" s="3" t="s">
        <v>0</v>
      </c>
      <c r="E41" s="16"/>
      <c r="F41" s="17"/>
      <c r="G41" s="17"/>
      <c r="H41" s="17">
        <v>108</v>
      </c>
      <c r="I41" s="2"/>
      <c r="J41" s="2"/>
    </row>
    <row r="42" spans="1:10" s="1" customFormat="1" ht="15" customHeight="1" x14ac:dyDescent="0.3">
      <c r="A42" s="14">
        <v>46174</v>
      </c>
      <c r="B42" s="15">
        <v>38</v>
      </c>
      <c r="C42" s="3" t="s">
        <v>115</v>
      </c>
      <c r="D42" s="3" t="s">
        <v>0</v>
      </c>
      <c r="E42" s="16"/>
      <c r="F42" s="17"/>
      <c r="G42" s="17"/>
      <c r="H42" s="17">
        <v>80</v>
      </c>
      <c r="I42" s="2"/>
      <c r="J42" s="2"/>
    </row>
    <row r="43" spans="1:10" s="1" customFormat="1" ht="15" customHeight="1" x14ac:dyDescent="0.3">
      <c r="A43" s="14">
        <v>46184</v>
      </c>
      <c r="B43" s="48">
        <v>39</v>
      </c>
      <c r="C43" s="37" t="s">
        <v>116</v>
      </c>
      <c r="D43" s="3" t="s">
        <v>0</v>
      </c>
      <c r="E43" s="19"/>
      <c r="F43" s="20"/>
      <c r="G43" s="17"/>
      <c r="H43" s="17">
        <v>85</v>
      </c>
      <c r="I43" s="2"/>
      <c r="J43" s="2"/>
    </row>
    <row r="44" spans="1:10" s="1" customFormat="1" ht="15" customHeight="1" x14ac:dyDescent="0.3">
      <c r="A44" s="14">
        <v>46197</v>
      </c>
      <c r="B44" s="15">
        <v>40</v>
      </c>
      <c r="C44" s="3" t="s">
        <v>117</v>
      </c>
      <c r="D44" s="18" t="s">
        <v>26</v>
      </c>
      <c r="E44" s="19"/>
      <c r="F44" s="20">
        <v>22.19</v>
      </c>
      <c r="G44" s="17"/>
      <c r="H44" s="17"/>
      <c r="I44" s="2"/>
      <c r="J44" s="2"/>
    </row>
    <row r="45" spans="1:10" s="1" customFormat="1" ht="15" customHeight="1" x14ac:dyDescent="0.3">
      <c r="A45" s="14">
        <v>46198</v>
      </c>
      <c r="B45" s="15">
        <v>41</v>
      </c>
      <c r="C45" s="3" t="s">
        <v>118</v>
      </c>
      <c r="D45" s="3" t="s">
        <v>0</v>
      </c>
      <c r="E45" s="19"/>
      <c r="F45" s="20"/>
      <c r="G45" s="17"/>
      <c r="H45" s="17">
        <v>33</v>
      </c>
      <c r="I45" s="2"/>
      <c r="J45" s="2"/>
    </row>
    <row r="46" spans="1:10" s="1" customFormat="1" ht="15" customHeight="1" x14ac:dyDescent="0.3">
      <c r="A46" s="14">
        <v>46199</v>
      </c>
      <c r="B46" s="15">
        <v>42</v>
      </c>
      <c r="C46" s="3" t="s">
        <v>119</v>
      </c>
      <c r="D46" s="3" t="s">
        <v>0</v>
      </c>
      <c r="E46" s="19"/>
      <c r="F46" s="20"/>
      <c r="G46" s="17"/>
      <c r="H46" s="17">
        <v>61</v>
      </c>
      <c r="I46" s="2"/>
      <c r="J46" s="2"/>
    </row>
    <row r="47" spans="1:10" s="1" customFormat="1" ht="15" customHeight="1" x14ac:dyDescent="0.3">
      <c r="A47" s="14">
        <v>46199</v>
      </c>
      <c r="B47" s="15">
        <v>43</v>
      </c>
      <c r="C47" s="3" t="s">
        <v>81</v>
      </c>
      <c r="D47" s="3" t="s">
        <v>0</v>
      </c>
      <c r="E47" s="19"/>
      <c r="F47" s="20"/>
      <c r="G47" s="17"/>
      <c r="H47" s="17">
        <v>6</v>
      </c>
      <c r="I47" s="2"/>
      <c r="J47" s="2"/>
    </row>
    <row r="48" spans="1:10" s="1" customFormat="1" ht="15" customHeight="1" x14ac:dyDescent="0.3">
      <c r="A48" s="14">
        <v>46199</v>
      </c>
      <c r="B48" s="15">
        <v>44</v>
      </c>
      <c r="C48" s="3" t="s">
        <v>120</v>
      </c>
      <c r="D48" s="3" t="s">
        <v>0</v>
      </c>
      <c r="E48" s="16"/>
      <c r="F48" s="17">
        <v>2</v>
      </c>
      <c r="G48" s="17"/>
      <c r="H48" s="17"/>
      <c r="I48" s="2"/>
      <c r="J48" s="2"/>
    </row>
    <row r="49" spans="1:10" s="1" customFormat="1" ht="15" customHeight="1" x14ac:dyDescent="0.3">
      <c r="A49" s="84">
        <v>46202</v>
      </c>
      <c r="B49" s="15">
        <v>45</v>
      </c>
      <c r="C49" s="3" t="s">
        <v>125</v>
      </c>
      <c r="D49" s="3" t="s">
        <v>0</v>
      </c>
      <c r="E49" s="16"/>
      <c r="F49" s="17"/>
      <c r="G49" s="17"/>
      <c r="H49" s="17">
        <v>20</v>
      </c>
      <c r="I49" s="2"/>
      <c r="J49" s="2"/>
    </row>
    <row r="50" spans="1:10" s="1" customFormat="1" ht="15" customHeight="1" x14ac:dyDescent="0.3">
      <c r="A50" s="14">
        <v>46203</v>
      </c>
      <c r="B50" s="15">
        <v>46</v>
      </c>
      <c r="C50" s="3" t="s">
        <v>126</v>
      </c>
      <c r="D50" s="18" t="s">
        <v>13</v>
      </c>
      <c r="E50" s="19"/>
      <c r="F50" s="20"/>
      <c r="G50" s="17"/>
      <c r="H50" s="17">
        <v>110</v>
      </c>
      <c r="I50" s="2"/>
      <c r="J50" s="2"/>
    </row>
    <row r="51" spans="1:10" s="1" customFormat="1" ht="15" customHeight="1" x14ac:dyDescent="0.3">
      <c r="A51" s="14">
        <v>46203</v>
      </c>
      <c r="B51" s="15">
        <v>47</v>
      </c>
      <c r="C51" s="3" t="s">
        <v>127</v>
      </c>
      <c r="D51" s="18" t="s">
        <v>12</v>
      </c>
      <c r="E51" s="16"/>
      <c r="F51" s="17"/>
      <c r="G51" s="17"/>
      <c r="H51" s="17">
        <v>100</v>
      </c>
      <c r="I51" s="2"/>
      <c r="J51" s="2"/>
    </row>
    <row r="52" spans="1:10" s="1" customFormat="1" ht="15" customHeight="1" x14ac:dyDescent="0.3">
      <c r="A52" s="14">
        <v>46203</v>
      </c>
      <c r="B52" s="15">
        <v>48</v>
      </c>
      <c r="C52" s="3" t="s">
        <v>128</v>
      </c>
      <c r="D52" s="3" t="s">
        <v>0</v>
      </c>
      <c r="E52" s="19"/>
      <c r="F52" s="17"/>
      <c r="G52" s="17"/>
      <c r="H52" s="17">
        <v>20</v>
      </c>
      <c r="I52" s="2"/>
      <c r="J52" s="2"/>
    </row>
    <row r="53" spans="1:10" s="1" customFormat="1" ht="15" customHeight="1" x14ac:dyDescent="0.3">
      <c r="A53" s="14">
        <v>46206</v>
      </c>
      <c r="B53" s="15">
        <v>49</v>
      </c>
      <c r="C53" s="3" t="s">
        <v>129</v>
      </c>
      <c r="D53" s="18" t="s">
        <v>26</v>
      </c>
      <c r="E53" s="19"/>
      <c r="F53" s="20"/>
      <c r="G53" s="17"/>
      <c r="H53" s="17">
        <v>15</v>
      </c>
      <c r="I53" s="2"/>
      <c r="J53" s="2"/>
    </row>
    <row r="54" spans="1:10" s="1" customFormat="1" ht="15" customHeight="1" x14ac:dyDescent="0.3">
      <c r="A54" s="14">
        <v>46216</v>
      </c>
      <c r="B54" s="15">
        <v>50</v>
      </c>
      <c r="C54" s="3" t="s">
        <v>138</v>
      </c>
      <c r="D54" s="3" t="s">
        <v>0</v>
      </c>
      <c r="E54" s="16"/>
      <c r="F54" s="17"/>
      <c r="G54" s="17"/>
      <c r="H54" s="17">
        <v>75</v>
      </c>
      <c r="I54" s="2"/>
      <c r="J54" s="2"/>
    </row>
    <row r="55" spans="1:10" s="1" customFormat="1" ht="15" customHeight="1" x14ac:dyDescent="0.3">
      <c r="A55" s="14">
        <v>46216</v>
      </c>
      <c r="B55" s="15">
        <v>51</v>
      </c>
      <c r="C55" s="3" t="s">
        <v>139</v>
      </c>
      <c r="D55" s="3" t="s">
        <v>0</v>
      </c>
      <c r="E55" s="16"/>
      <c r="F55" s="17"/>
      <c r="G55" s="17"/>
      <c r="H55" s="17">
        <v>76</v>
      </c>
      <c r="I55" s="2"/>
      <c r="J55" s="2"/>
    </row>
    <row r="56" spans="1:10" s="1" customFormat="1" ht="15" customHeight="1" x14ac:dyDescent="0.3">
      <c r="A56" s="14">
        <v>46223</v>
      </c>
      <c r="B56" s="15">
        <v>52</v>
      </c>
      <c r="C56" s="3" t="s">
        <v>140</v>
      </c>
      <c r="D56" s="3" t="s">
        <v>0</v>
      </c>
      <c r="E56" s="16"/>
      <c r="F56" s="17"/>
      <c r="G56" s="17"/>
      <c r="H56" s="17">
        <v>1607.21</v>
      </c>
      <c r="I56" s="2"/>
      <c r="J56" s="2"/>
    </row>
    <row r="57" spans="1:10" s="1" customFormat="1" ht="15" customHeight="1" x14ac:dyDescent="0.3">
      <c r="A57" s="14">
        <v>46223</v>
      </c>
      <c r="B57" s="15">
        <v>53</v>
      </c>
      <c r="C57" s="3" t="s">
        <v>141</v>
      </c>
      <c r="D57" s="3" t="s">
        <v>0</v>
      </c>
      <c r="E57" s="16"/>
      <c r="F57" s="17"/>
      <c r="G57" s="17"/>
      <c r="H57" s="17">
        <v>38.950000000000003</v>
      </c>
      <c r="I57" s="2"/>
      <c r="J57" s="2"/>
    </row>
    <row r="58" spans="1:10" s="1" customFormat="1" ht="15" customHeight="1" x14ac:dyDescent="0.3">
      <c r="A58" s="14">
        <v>46225</v>
      </c>
      <c r="B58" s="15">
        <v>54</v>
      </c>
      <c r="C58" s="3" t="s">
        <v>145</v>
      </c>
      <c r="D58" s="3" t="s">
        <v>0</v>
      </c>
      <c r="E58" s="16"/>
      <c r="F58" s="17"/>
      <c r="G58" s="17"/>
      <c r="H58" s="17">
        <v>27.5</v>
      </c>
      <c r="I58" s="2"/>
      <c r="J58" s="2"/>
    </row>
    <row r="59" spans="1:10" s="1" customFormat="1" ht="15" customHeight="1" x14ac:dyDescent="0.3">
      <c r="A59" s="14">
        <v>46226</v>
      </c>
      <c r="B59" s="15">
        <v>55</v>
      </c>
      <c r="C59" s="3" t="s">
        <v>138</v>
      </c>
      <c r="D59" s="3" t="s">
        <v>0</v>
      </c>
      <c r="E59" s="19"/>
      <c r="F59" s="17"/>
      <c r="G59" s="17"/>
      <c r="H59" s="17">
        <v>12</v>
      </c>
      <c r="I59" s="2"/>
      <c r="J59" s="2"/>
    </row>
    <row r="60" spans="1:10" s="1" customFormat="1" ht="15" customHeight="1" x14ac:dyDescent="0.3">
      <c r="A60" s="14">
        <v>46230</v>
      </c>
      <c r="B60" s="15">
        <v>56</v>
      </c>
      <c r="C60" s="3" t="s">
        <v>101</v>
      </c>
      <c r="D60" s="2" t="s">
        <v>26</v>
      </c>
      <c r="E60" s="19"/>
      <c r="F60" s="17">
        <v>1367.93</v>
      </c>
      <c r="G60" s="17"/>
      <c r="H60" s="17"/>
      <c r="I60" s="2"/>
      <c r="J60" s="2"/>
    </row>
    <row r="61" spans="1:10" s="1" customFormat="1" ht="15" customHeight="1" x14ac:dyDescent="0.3">
      <c r="A61" s="14">
        <v>46232</v>
      </c>
      <c r="B61" s="15">
        <v>57</v>
      </c>
      <c r="C61" s="3" t="s">
        <v>147</v>
      </c>
      <c r="D61" s="3" t="s">
        <v>0</v>
      </c>
      <c r="E61" s="16"/>
      <c r="F61" s="17"/>
      <c r="G61" s="17"/>
      <c r="H61" s="17">
        <v>105</v>
      </c>
      <c r="I61" s="2"/>
      <c r="J61" s="2"/>
    </row>
    <row r="62" spans="1:10" s="1" customFormat="1" ht="15" customHeight="1" x14ac:dyDescent="0.3">
      <c r="A62" s="14">
        <v>46245</v>
      </c>
      <c r="B62" s="48">
        <v>58</v>
      </c>
      <c r="C62" s="3" t="s">
        <v>150</v>
      </c>
      <c r="D62" s="3" t="s">
        <v>0</v>
      </c>
      <c r="E62" s="16"/>
      <c r="F62" s="17"/>
      <c r="G62" s="17"/>
      <c r="H62" s="17">
        <v>75</v>
      </c>
      <c r="I62" s="2"/>
      <c r="J62" s="2"/>
    </row>
    <row r="63" spans="1:10" s="1" customFormat="1" ht="15" customHeight="1" x14ac:dyDescent="0.3">
      <c r="A63" s="14">
        <v>46246</v>
      </c>
      <c r="B63" s="48">
        <v>59</v>
      </c>
      <c r="C63" s="3" t="s">
        <v>151</v>
      </c>
      <c r="D63" s="3" t="s">
        <v>0</v>
      </c>
      <c r="E63" s="16"/>
      <c r="F63" s="17"/>
      <c r="G63" s="17"/>
      <c r="H63" s="17">
        <v>17.5</v>
      </c>
      <c r="I63" s="2"/>
      <c r="J63" s="2"/>
    </row>
    <row r="64" spans="1:10" s="1" customFormat="1" ht="15" customHeight="1" x14ac:dyDescent="0.3">
      <c r="A64" s="14">
        <v>46251</v>
      </c>
      <c r="B64" s="48">
        <v>60</v>
      </c>
      <c r="C64" s="37" t="s">
        <v>152</v>
      </c>
      <c r="D64" s="3" t="s">
        <v>0</v>
      </c>
      <c r="E64" s="16"/>
      <c r="F64" s="17"/>
      <c r="G64" s="17"/>
      <c r="H64" s="17">
        <v>50</v>
      </c>
      <c r="I64" s="2"/>
      <c r="J64" s="2"/>
    </row>
    <row r="65" spans="1:10" s="1" customFormat="1" ht="15" customHeight="1" x14ac:dyDescent="0.3">
      <c r="A65" s="14">
        <v>46258</v>
      </c>
      <c r="B65" s="48">
        <v>61</v>
      </c>
      <c r="C65" s="3" t="s">
        <v>153</v>
      </c>
      <c r="D65" s="3" t="s">
        <v>0</v>
      </c>
      <c r="E65" s="16"/>
      <c r="F65" s="17"/>
      <c r="G65" s="17"/>
      <c r="H65" s="17">
        <v>94</v>
      </c>
      <c r="I65" s="2"/>
      <c r="J65" s="2"/>
    </row>
    <row r="66" spans="1:10" s="1" customFormat="1" ht="15" customHeight="1" x14ac:dyDescent="0.3">
      <c r="A66" s="14">
        <v>46276</v>
      </c>
      <c r="B66" s="48">
        <v>62</v>
      </c>
      <c r="C66" s="3" t="s">
        <v>154</v>
      </c>
      <c r="D66" s="3" t="s">
        <v>0</v>
      </c>
      <c r="E66" s="16"/>
      <c r="F66" s="17"/>
      <c r="G66" s="17"/>
      <c r="H66" s="17">
        <v>100</v>
      </c>
      <c r="I66" s="2"/>
      <c r="J66" s="2"/>
    </row>
    <row r="67" spans="1:10" s="1" customFormat="1" ht="15" customHeight="1" x14ac:dyDescent="0.3">
      <c r="A67" s="14">
        <v>46279</v>
      </c>
      <c r="B67" s="15">
        <v>63</v>
      </c>
      <c r="C67" s="15" t="s">
        <v>155</v>
      </c>
      <c r="D67" s="3" t="s">
        <v>0</v>
      </c>
      <c r="E67" s="16"/>
      <c r="F67" s="17"/>
      <c r="G67" s="17"/>
      <c r="H67" s="17">
        <v>15</v>
      </c>
      <c r="I67" s="2"/>
      <c r="J67" s="2"/>
    </row>
    <row r="68" spans="1:10" s="1" customFormat="1" ht="15" customHeight="1" x14ac:dyDescent="0.3">
      <c r="A68" s="14">
        <v>46281</v>
      </c>
      <c r="B68" s="48">
        <v>64</v>
      </c>
      <c r="C68" s="3" t="s">
        <v>158</v>
      </c>
      <c r="D68" s="3" t="s">
        <v>0</v>
      </c>
      <c r="E68" s="16"/>
      <c r="F68" s="17"/>
      <c r="G68" s="17"/>
      <c r="H68" s="17">
        <v>93</v>
      </c>
      <c r="I68" s="2"/>
      <c r="J68" s="2"/>
    </row>
    <row r="69" spans="1:10" s="1" customFormat="1" ht="15" customHeight="1" x14ac:dyDescent="0.3">
      <c r="A69" s="14">
        <v>46295</v>
      </c>
      <c r="B69" s="15">
        <v>65</v>
      </c>
      <c r="C69" s="15" t="s">
        <v>159</v>
      </c>
      <c r="D69" s="3" t="s">
        <v>0</v>
      </c>
      <c r="E69" s="16"/>
      <c r="F69" s="17"/>
      <c r="G69" s="17"/>
      <c r="H69" s="17">
        <v>118</v>
      </c>
      <c r="I69" s="2"/>
      <c r="J69" s="2"/>
    </row>
    <row r="70" spans="1:10" s="1" customFormat="1" ht="15" customHeight="1" x14ac:dyDescent="0.3">
      <c r="A70" s="14">
        <v>46300</v>
      </c>
      <c r="B70" s="15">
        <v>66</v>
      </c>
      <c r="C70" s="15" t="s">
        <v>160</v>
      </c>
      <c r="D70" s="18" t="s">
        <v>13</v>
      </c>
      <c r="E70" s="19"/>
      <c r="F70" s="17">
        <v>30</v>
      </c>
      <c r="G70" s="17"/>
      <c r="I70" s="2"/>
      <c r="J70" s="2"/>
    </row>
    <row r="71" spans="1:10" s="1" customFormat="1" ht="15" customHeight="1" x14ac:dyDescent="0.3">
      <c r="A71" s="14"/>
      <c r="B71" s="15">
        <v>67</v>
      </c>
      <c r="C71" s="15"/>
      <c r="D71" s="18"/>
      <c r="E71" s="16"/>
      <c r="F71" s="17"/>
      <c r="G71" s="17"/>
      <c r="H71" s="17"/>
      <c r="I71" s="2"/>
      <c r="J71" s="2"/>
    </row>
    <row r="72" spans="1:10" s="1" customFormat="1" ht="15" customHeight="1" x14ac:dyDescent="0.3">
      <c r="A72" s="14"/>
      <c r="B72" s="15">
        <v>68</v>
      </c>
      <c r="C72" s="15"/>
      <c r="D72" s="18"/>
      <c r="E72" s="19"/>
      <c r="F72" s="17"/>
      <c r="G72" s="17"/>
      <c r="H72" s="17"/>
      <c r="I72" s="2"/>
      <c r="J72" s="2"/>
    </row>
    <row r="73" spans="1:10" s="1" customFormat="1" ht="15" customHeight="1" x14ac:dyDescent="0.3">
      <c r="A73" s="14"/>
      <c r="B73" s="15">
        <v>69</v>
      </c>
      <c r="C73" s="15"/>
      <c r="D73" s="18"/>
      <c r="E73" s="16"/>
      <c r="F73" s="17"/>
      <c r="G73" s="17"/>
      <c r="H73" s="17"/>
      <c r="I73" s="2"/>
      <c r="J73" s="2"/>
    </row>
    <row r="74" spans="1:10" s="1" customFormat="1" ht="15" customHeight="1" x14ac:dyDescent="0.3">
      <c r="A74" s="14"/>
      <c r="B74" s="15">
        <v>70</v>
      </c>
      <c r="C74" s="15"/>
      <c r="D74" s="18"/>
      <c r="E74" s="16"/>
      <c r="F74" s="17"/>
      <c r="G74" s="17"/>
      <c r="H74" s="17"/>
      <c r="I74" s="2"/>
      <c r="J74" s="2"/>
    </row>
    <row r="75" spans="1:10" s="1" customFormat="1" ht="15" customHeight="1" x14ac:dyDescent="0.3">
      <c r="A75" s="14"/>
      <c r="B75" s="15">
        <v>71</v>
      </c>
      <c r="C75" s="15"/>
      <c r="D75" s="18"/>
      <c r="E75" s="16"/>
      <c r="F75" s="17"/>
      <c r="G75" s="17"/>
      <c r="H75" s="17"/>
      <c r="I75" s="2"/>
      <c r="J75" s="2"/>
    </row>
    <row r="76" spans="1:10" s="1" customFormat="1" ht="15" customHeight="1" x14ac:dyDescent="0.3">
      <c r="A76" s="14"/>
      <c r="B76" s="15">
        <v>72</v>
      </c>
      <c r="C76" s="15"/>
      <c r="D76" s="18"/>
      <c r="E76" s="16"/>
      <c r="F76" s="17"/>
      <c r="G76" s="17"/>
      <c r="H76" s="17"/>
      <c r="I76" s="2"/>
      <c r="J76" s="2"/>
    </row>
    <row r="77" spans="1:10" s="1" customFormat="1" ht="15" customHeight="1" x14ac:dyDescent="0.3">
      <c r="A77" s="14"/>
      <c r="B77" s="15">
        <v>73</v>
      </c>
      <c r="C77" s="15"/>
      <c r="D77" s="18"/>
      <c r="E77" s="16"/>
      <c r="F77" s="17"/>
      <c r="G77" s="17"/>
      <c r="H77" s="17"/>
      <c r="I77" s="2"/>
      <c r="J77" s="2"/>
    </row>
    <row r="78" spans="1:10" s="1" customFormat="1" ht="15" customHeight="1" x14ac:dyDescent="0.3">
      <c r="A78" s="14"/>
      <c r="B78" s="15">
        <v>74</v>
      </c>
      <c r="C78" s="15"/>
      <c r="D78" s="18"/>
      <c r="E78" s="16"/>
      <c r="F78" s="17"/>
      <c r="G78" s="17"/>
      <c r="H78" s="17"/>
      <c r="I78" s="2"/>
      <c r="J78" s="2"/>
    </row>
    <row r="79" spans="1:10" s="1" customFormat="1" ht="15" customHeight="1" x14ac:dyDescent="0.3">
      <c r="A79" s="14"/>
      <c r="B79" s="15">
        <v>75</v>
      </c>
      <c r="C79" s="15"/>
      <c r="D79" s="18"/>
      <c r="E79" s="16"/>
      <c r="F79" s="17"/>
      <c r="G79" s="17"/>
      <c r="H79" s="17"/>
      <c r="I79" s="2"/>
      <c r="J79" s="2"/>
    </row>
    <row r="80" spans="1:10" s="1" customFormat="1" ht="15" customHeight="1" x14ac:dyDescent="0.3">
      <c r="A80" s="14"/>
      <c r="B80" s="15">
        <v>76</v>
      </c>
      <c r="C80" s="37"/>
      <c r="D80" s="18"/>
      <c r="E80" s="16"/>
      <c r="F80" s="17"/>
      <c r="G80" s="17"/>
      <c r="H80" s="17"/>
      <c r="I80" s="2"/>
      <c r="J80" s="2"/>
    </row>
    <row r="81" spans="1:10" s="1" customFormat="1" ht="15" customHeight="1" x14ac:dyDescent="0.3">
      <c r="A81" s="14"/>
      <c r="B81" s="15">
        <v>77</v>
      </c>
      <c r="C81" s="3"/>
      <c r="D81" s="18"/>
      <c r="E81" s="16"/>
      <c r="F81" s="17"/>
      <c r="G81" s="17"/>
      <c r="H81" s="17"/>
      <c r="I81" s="2"/>
      <c r="J81" s="2"/>
    </row>
    <row r="82" spans="1:10" s="1" customFormat="1" ht="15" customHeight="1" x14ac:dyDescent="0.3">
      <c r="A82" s="14"/>
      <c r="B82" s="15">
        <v>78</v>
      </c>
      <c r="C82" s="3"/>
      <c r="D82" s="18"/>
      <c r="E82" s="16"/>
      <c r="F82" s="17"/>
      <c r="G82" s="17"/>
      <c r="H82" s="17"/>
      <c r="I82" s="2"/>
      <c r="J82" s="2"/>
    </row>
    <row r="83" spans="1:10" s="1" customFormat="1" ht="15" customHeight="1" x14ac:dyDescent="0.3">
      <c r="A83" s="14"/>
      <c r="B83" s="48">
        <v>79</v>
      </c>
      <c r="C83" s="50"/>
      <c r="D83" s="18"/>
      <c r="E83" s="51"/>
      <c r="F83" s="20"/>
      <c r="G83" s="17"/>
      <c r="H83" s="17"/>
      <c r="I83" s="2"/>
      <c r="J83" s="2"/>
    </row>
    <row r="84" spans="1:10" s="1" customFormat="1" ht="15" customHeight="1" x14ac:dyDescent="0.3">
      <c r="A84" s="14"/>
      <c r="B84" s="15">
        <v>80</v>
      </c>
      <c r="C84" s="50"/>
      <c r="D84" s="18"/>
      <c r="E84" s="16"/>
      <c r="F84" s="17"/>
      <c r="G84" s="17"/>
      <c r="H84" s="17"/>
      <c r="I84" s="2"/>
      <c r="J84" s="2"/>
    </row>
    <row r="85" spans="1:10" s="1" customFormat="1" ht="15" customHeight="1" x14ac:dyDescent="0.3">
      <c r="A85" s="14"/>
      <c r="B85" s="15">
        <v>81</v>
      </c>
      <c r="C85" s="50"/>
      <c r="D85" s="18"/>
      <c r="E85" s="16"/>
      <c r="F85" s="17"/>
      <c r="G85" s="17"/>
      <c r="H85" s="17"/>
      <c r="I85" s="2"/>
      <c r="J85" s="2"/>
    </row>
    <row r="86" spans="1:10" s="1" customFormat="1" ht="15" customHeight="1" x14ac:dyDescent="0.3">
      <c r="A86" s="14"/>
      <c r="B86" s="15">
        <v>82</v>
      </c>
      <c r="C86" s="50"/>
      <c r="D86" s="18"/>
      <c r="E86" s="16"/>
      <c r="F86" s="17"/>
      <c r="G86" s="17"/>
      <c r="H86" s="17"/>
      <c r="I86" s="2"/>
      <c r="J86" s="2"/>
    </row>
    <row r="87" spans="1:10" s="1" customFormat="1" ht="15" customHeight="1" x14ac:dyDescent="0.3">
      <c r="A87" s="14"/>
      <c r="B87" s="15">
        <v>83</v>
      </c>
      <c r="C87" s="50"/>
      <c r="D87" s="18"/>
      <c r="E87" s="16"/>
      <c r="F87" s="17"/>
      <c r="G87" s="17"/>
      <c r="H87" s="17"/>
      <c r="I87" s="2"/>
      <c r="J87" s="2"/>
    </row>
    <row r="88" spans="1:10" s="1" customFormat="1" ht="15" customHeight="1" x14ac:dyDescent="0.3">
      <c r="A88" s="14"/>
      <c r="B88" s="15">
        <v>84</v>
      </c>
      <c r="C88" s="15"/>
      <c r="D88" s="18"/>
      <c r="E88" s="16"/>
      <c r="F88" s="17"/>
      <c r="G88" s="17"/>
      <c r="H88" s="17"/>
      <c r="I88" s="2"/>
      <c r="J88" s="2"/>
    </row>
    <row r="89" spans="1:10" s="1" customFormat="1" ht="15" customHeight="1" x14ac:dyDescent="0.3">
      <c r="A89" s="14"/>
      <c r="B89" s="15">
        <v>85</v>
      </c>
      <c r="C89" s="3"/>
      <c r="D89" s="18"/>
      <c r="E89" s="16"/>
      <c r="F89" s="17"/>
      <c r="G89" s="17"/>
      <c r="H89" s="17"/>
      <c r="I89" s="2"/>
      <c r="J89" s="2"/>
    </row>
    <row r="90" spans="1:10" s="1" customFormat="1" ht="15" customHeight="1" x14ac:dyDescent="0.3">
      <c r="A90" s="14"/>
      <c r="B90" s="15">
        <v>86</v>
      </c>
      <c r="C90" s="3"/>
      <c r="D90" s="18"/>
      <c r="E90" s="16"/>
      <c r="F90" s="17"/>
      <c r="G90" s="17"/>
      <c r="H90" s="17"/>
      <c r="I90" s="2"/>
      <c r="J90" s="2"/>
    </row>
    <row r="91" spans="1:10" s="1" customFormat="1" ht="15" customHeight="1" x14ac:dyDescent="0.3">
      <c r="A91" s="14"/>
      <c r="B91" s="15">
        <v>87</v>
      </c>
      <c r="C91" s="3"/>
      <c r="D91" s="18"/>
      <c r="E91" s="16"/>
      <c r="F91" s="17"/>
      <c r="G91" s="17"/>
      <c r="H91" s="17"/>
      <c r="I91" s="2"/>
      <c r="J91" s="2"/>
    </row>
    <row r="92" spans="1:10" s="1" customFormat="1" ht="15" customHeight="1" x14ac:dyDescent="0.3">
      <c r="A92" s="14"/>
      <c r="B92" s="15">
        <v>88</v>
      </c>
      <c r="C92" s="3"/>
      <c r="D92" s="18"/>
      <c r="E92" s="16"/>
      <c r="F92" s="17"/>
      <c r="G92" s="17"/>
      <c r="H92" s="17"/>
      <c r="I92" s="2"/>
      <c r="J92" s="2"/>
    </row>
    <row r="93" spans="1:10" s="1" customFormat="1" ht="15" customHeight="1" x14ac:dyDescent="0.3">
      <c r="A93" s="14"/>
      <c r="B93" s="48">
        <v>89</v>
      </c>
      <c r="C93" s="37"/>
      <c r="D93" s="18"/>
      <c r="E93" s="16"/>
      <c r="F93" s="17"/>
      <c r="G93" s="17"/>
      <c r="H93" s="17"/>
      <c r="I93" s="2"/>
      <c r="J93" s="2"/>
    </row>
    <row r="94" spans="1:10" s="1" customFormat="1" ht="15" customHeight="1" x14ac:dyDescent="0.3">
      <c r="A94" s="14"/>
      <c r="B94" s="15">
        <v>90</v>
      </c>
      <c r="C94" s="15"/>
      <c r="D94" s="18"/>
      <c r="E94" s="16"/>
      <c r="F94" s="17"/>
      <c r="G94" s="17"/>
      <c r="H94" s="17"/>
      <c r="I94" s="2"/>
      <c r="J94" s="2"/>
    </row>
    <row r="95" spans="1:10" s="1" customFormat="1" ht="15" customHeight="1" x14ac:dyDescent="0.3">
      <c r="A95" s="14"/>
      <c r="B95" s="15">
        <v>91</v>
      </c>
      <c r="C95" s="15"/>
      <c r="D95" s="18"/>
      <c r="E95" s="16"/>
      <c r="F95" s="17"/>
      <c r="G95" s="17"/>
      <c r="H95" s="17"/>
      <c r="I95" s="2"/>
      <c r="J95" s="2"/>
    </row>
    <row r="96" spans="1:10" s="1" customFormat="1" ht="15" customHeight="1" x14ac:dyDescent="0.3">
      <c r="A96" s="14"/>
      <c r="B96" s="15">
        <v>92</v>
      </c>
      <c r="C96" s="15"/>
      <c r="D96" s="18"/>
      <c r="E96" s="16"/>
      <c r="F96" s="17"/>
      <c r="G96" s="17"/>
      <c r="H96" s="17"/>
      <c r="I96" s="2"/>
      <c r="J96" s="2"/>
    </row>
    <row r="97" spans="1:10" s="1" customFormat="1" ht="15" customHeight="1" x14ac:dyDescent="0.3">
      <c r="A97" s="14"/>
      <c r="B97" s="15">
        <v>93</v>
      </c>
      <c r="C97" s="15"/>
      <c r="D97" s="18"/>
      <c r="E97" s="16"/>
      <c r="F97" s="17"/>
      <c r="G97" s="17"/>
      <c r="H97" s="17"/>
      <c r="I97" s="2"/>
      <c r="J97" s="2"/>
    </row>
    <row r="98" spans="1:10" s="1" customFormat="1" ht="15" customHeight="1" x14ac:dyDescent="0.3">
      <c r="A98" s="14"/>
      <c r="B98" s="15">
        <v>94</v>
      </c>
      <c r="C98" s="15"/>
      <c r="D98" s="18"/>
      <c r="E98" s="16"/>
      <c r="F98" s="17"/>
      <c r="G98" s="17"/>
      <c r="H98" s="17"/>
      <c r="I98" s="2"/>
      <c r="J98" s="2"/>
    </row>
    <row r="99" spans="1:10" s="1" customFormat="1" ht="15" customHeight="1" x14ac:dyDescent="0.3">
      <c r="A99" s="14"/>
      <c r="B99" s="15">
        <v>95</v>
      </c>
      <c r="C99" s="37"/>
      <c r="D99" s="18"/>
      <c r="E99" s="20"/>
      <c r="F99" s="20"/>
      <c r="G99" s="17"/>
      <c r="H99" s="17"/>
      <c r="I99" s="2"/>
      <c r="J99" s="2"/>
    </row>
    <row r="100" spans="1:10" s="1" customFormat="1" ht="15" customHeight="1" x14ac:dyDescent="0.3">
      <c r="A100" s="14"/>
      <c r="B100" s="15">
        <v>96</v>
      </c>
      <c r="C100" s="37"/>
      <c r="D100" s="18"/>
      <c r="E100" s="16"/>
      <c r="F100" s="17"/>
      <c r="G100" s="17"/>
      <c r="H100" s="17"/>
      <c r="I100" s="2"/>
      <c r="J100" s="2"/>
    </row>
    <row r="101" spans="1:10" s="1" customFormat="1" ht="15" customHeight="1" x14ac:dyDescent="0.3">
      <c r="A101" s="14"/>
      <c r="B101" s="15">
        <v>97</v>
      </c>
      <c r="C101" s="15"/>
      <c r="D101" s="18"/>
      <c r="E101" s="16"/>
      <c r="F101" s="17"/>
      <c r="G101" s="17"/>
      <c r="H101" s="17"/>
      <c r="I101" s="2"/>
      <c r="J101" s="2"/>
    </row>
    <row r="102" spans="1:10" s="1" customFormat="1" ht="15" customHeight="1" x14ac:dyDescent="0.3">
      <c r="A102" s="14"/>
      <c r="B102" s="15">
        <v>98</v>
      </c>
      <c r="C102" s="15"/>
      <c r="D102" s="18"/>
      <c r="E102" s="16"/>
      <c r="F102" s="17"/>
      <c r="G102" s="17"/>
      <c r="H102" s="17"/>
      <c r="I102" s="2"/>
      <c r="J102" s="2"/>
    </row>
    <row r="103" spans="1:10" s="1" customFormat="1" ht="15" customHeight="1" x14ac:dyDescent="0.3">
      <c r="A103" s="14"/>
      <c r="B103" s="15">
        <v>99</v>
      </c>
      <c r="C103" s="15"/>
      <c r="D103" s="18"/>
      <c r="E103" s="16"/>
      <c r="F103" s="17"/>
      <c r="G103" s="17"/>
      <c r="H103" s="17"/>
      <c r="I103" s="2"/>
      <c r="J103" s="2"/>
    </row>
    <row r="104" spans="1:10" s="1" customFormat="1" ht="15" customHeight="1" x14ac:dyDescent="0.3">
      <c r="A104" s="14"/>
      <c r="B104" s="15">
        <v>100</v>
      </c>
      <c r="C104" s="15"/>
      <c r="D104" s="18"/>
      <c r="E104" s="16"/>
      <c r="F104" s="17"/>
      <c r="G104" s="17"/>
      <c r="H104" s="17"/>
      <c r="I104" s="2"/>
      <c r="J104" s="2"/>
    </row>
    <row r="105" spans="1:10" s="1" customFormat="1" ht="15" customHeight="1" x14ac:dyDescent="0.3">
      <c r="A105" s="14"/>
      <c r="B105" s="15">
        <v>101</v>
      </c>
      <c r="C105" s="15"/>
      <c r="D105" s="18"/>
      <c r="E105" s="16"/>
      <c r="F105" s="17"/>
      <c r="G105" s="17"/>
      <c r="H105" s="17"/>
      <c r="I105" s="2"/>
      <c r="J105" s="2"/>
    </row>
    <row r="106" spans="1:10" s="1" customFormat="1" ht="15" customHeight="1" x14ac:dyDescent="0.3">
      <c r="A106" s="14"/>
      <c r="B106" s="15">
        <v>102</v>
      </c>
      <c r="C106" s="15"/>
      <c r="D106" s="18"/>
      <c r="E106" s="16"/>
      <c r="F106" s="17"/>
      <c r="G106" s="17"/>
      <c r="H106" s="17"/>
      <c r="I106" s="2"/>
      <c r="J106" s="2"/>
    </row>
    <row r="107" spans="1:10" s="1" customFormat="1" ht="15" customHeight="1" x14ac:dyDescent="0.3">
      <c r="A107" s="14"/>
      <c r="B107" s="15">
        <v>103</v>
      </c>
      <c r="C107" s="15"/>
      <c r="D107" s="18"/>
      <c r="E107" s="16"/>
      <c r="F107" s="17"/>
      <c r="G107" s="17"/>
      <c r="H107" s="17"/>
      <c r="I107" s="2"/>
      <c r="J107" s="2"/>
    </row>
    <row r="108" spans="1:10" s="1" customFormat="1" ht="15" customHeight="1" x14ac:dyDescent="0.3">
      <c r="A108" s="14"/>
      <c r="B108" s="15"/>
      <c r="C108" s="15"/>
      <c r="D108" s="18"/>
      <c r="E108" s="16"/>
      <c r="F108" s="17"/>
      <c r="G108" s="17"/>
      <c r="H108" s="17"/>
      <c r="I108" s="2"/>
      <c r="J108" s="2"/>
    </row>
    <row r="109" spans="1:10" s="1" customFormat="1" ht="15" customHeight="1" x14ac:dyDescent="0.3">
      <c r="A109" s="14"/>
      <c r="B109" s="15"/>
      <c r="C109" s="15"/>
      <c r="D109" s="18"/>
      <c r="E109" s="16"/>
      <c r="F109" s="17"/>
      <c r="G109" s="17"/>
      <c r="H109" s="17"/>
      <c r="I109" s="2" t="s">
        <v>31</v>
      </c>
      <c r="J109" s="2"/>
    </row>
    <row r="110" spans="1:10" s="1" customFormat="1" ht="15" customHeight="1" x14ac:dyDescent="0.3">
      <c r="A110" s="14"/>
      <c r="B110" s="15"/>
      <c r="C110" s="15"/>
      <c r="D110" s="18"/>
      <c r="E110" s="16"/>
      <c r="F110" s="17"/>
      <c r="G110" s="17"/>
      <c r="H110" s="17"/>
      <c r="I110" s="2"/>
      <c r="J110" s="2"/>
    </row>
    <row r="111" spans="1:10" s="1" customFormat="1" ht="15" customHeight="1" x14ac:dyDescent="0.3">
      <c r="A111" s="22" t="s">
        <v>15</v>
      </c>
      <c r="B111" s="23"/>
      <c r="C111" s="23"/>
      <c r="D111" s="24"/>
      <c r="E111" s="25">
        <f>SUM(E3:E110)</f>
        <v>0</v>
      </c>
      <c r="F111" s="26">
        <f>SUM(F3:F110)</f>
        <v>7368.5000000000236</v>
      </c>
      <c r="G111" s="26">
        <f>SUM(G3:G110)</f>
        <v>2000.5</v>
      </c>
      <c r="H111" s="26">
        <f>SUM(H3:H110)</f>
        <v>9644.27</v>
      </c>
      <c r="I111" s="2"/>
      <c r="J111" s="2"/>
    </row>
    <row r="112" spans="1:10" s="1" customFormat="1" ht="15" customHeight="1" x14ac:dyDescent="0.3">
      <c r="A112" s="33"/>
      <c r="B112" s="33"/>
      <c r="C112" s="33"/>
      <c r="D112" s="33"/>
      <c r="E112" s="34"/>
      <c r="F112" s="34"/>
      <c r="G112" s="34"/>
      <c r="H112" s="34"/>
      <c r="I112" s="2"/>
      <c r="J112" s="2"/>
    </row>
    <row r="113" spans="1:10" s="1" customFormat="1" ht="15" customHeight="1" x14ac:dyDescent="0.3">
      <c r="A113" s="22" t="s">
        <v>16</v>
      </c>
      <c r="B113" s="23"/>
      <c r="C113" s="23"/>
      <c r="D113" s="45"/>
      <c r="E113" s="26">
        <f>E111+Ausgaben!F180</f>
        <v>0</v>
      </c>
      <c r="F113" s="26">
        <f>F111+Ausgaben!G180</f>
        <v>1863.5200000000286</v>
      </c>
      <c r="G113" s="26">
        <f>G111+Ausgaben!H180</f>
        <v>2000.5</v>
      </c>
      <c r="H113" s="26">
        <f>H111+Ausgaben!I180</f>
        <v>4761.5600000000004</v>
      </c>
      <c r="I113" s="2"/>
      <c r="J113" s="2"/>
    </row>
    <row r="114" spans="1:10" s="1" customFormat="1" ht="15" customHeight="1" x14ac:dyDescent="0.3">
      <c r="A114" s="35"/>
      <c r="B114" s="35"/>
      <c r="C114" s="35"/>
      <c r="D114" s="35"/>
      <c r="E114" s="13"/>
      <c r="F114" s="13"/>
      <c r="G114" s="13"/>
      <c r="H114" s="13"/>
      <c r="I114" s="2"/>
      <c r="J114" s="2"/>
    </row>
    <row r="115" spans="1:10" s="1" customFormat="1" ht="15" customHeight="1" x14ac:dyDescent="0.3">
      <c r="A115" s="5" t="s">
        <v>17</v>
      </c>
      <c r="B115" s="5"/>
      <c r="C115" s="22"/>
      <c r="D115" s="27">
        <f>SUM(E113:H113)</f>
        <v>8625.580000000029</v>
      </c>
      <c r="E115" s="16"/>
      <c r="F115" s="17"/>
      <c r="G115" s="17"/>
      <c r="H115" s="17"/>
      <c r="I115" s="2"/>
      <c r="J115" s="2"/>
    </row>
    <row r="116" spans="1:10" s="1" customFormat="1" ht="15" customHeight="1" x14ac:dyDescent="0.3">
      <c r="A116" s="36"/>
      <c r="B116" s="36"/>
      <c r="C116" s="36"/>
      <c r="D116" s="36"/>
      <c r="E116" s="17"/>
      <c r="F116" s="17"/>
      <c r="G116" s="17"/>
      <c r="H116" s="17"/>
      <c r="I116" s="2"/>
      <c r="J116" s="2"/>
    </row>
    <row r="117" spans="1:10" s="1" customFormat="1" ht="15" customHeight="1" x14ac:dyDescent="0.3">
      <c r="A117" s="2"/>
      <c r="B117" s="2"/>
      <c r="C117" s="2"/>
      <c r="D117" s="2" t="s">
        <v>43</v>
      </c>
      <c r="E117" s="17"/>
      <c r="F117" s="17"/>
      <c r="G117" s="17"/>
      <c r="H117" s="17"/>
      <c r="I117" s="2"/>
      <c r="J117" s="2"/>
    </row>
    <row r="118" spans="1:10" s="1" customFormat="1" ht="15" customHeight="1" x14ac:dyDescent="0.3">
      <c r="A118" s="2"/>
      <c r="B118" s="2"/>
      <c r="C118" s="2"/>
      <c r="D118" s="2"/>
      <c r="E118" s="17"/>
      <c r="F118" s="17"/>
      <c r="G118" s="17"/>
      <c r="H118" s="17"/>
      <c r="I118" s="2"/>
      <c r="J118" s="2"/>
    </row>
    <row r="119" spans="1:10" s="1" customFormat="1" ht="15" customHeight="1" x14ac:dyDescent="0.3">
      <c r="A119" s="2"/>
      <c r="B119" s="2"/>
      <c r="C119" s="2"/>
      <c r="D119" s="2"/>
      <c r="E119" s="17"/>
      <c r="F119" s="17"/>
      <c r="G119" s="17"/>
      <c r="H119" s="17"/>
      <c r="I119" s="2"/>
      <c r="J119" s="2"/>
    </row>
    <row r="120" spans="1:10" s="1" customFormat="1" ht="15" customHeight="1" x14ac:dyDescent="0.3">
      <c r="A120" s="2"/>
      <c r="B120" s="2"/>
      <c r="C120" s="2"/>
      <c r="D120" s="2"/>
      <c r="E120" s="17"/>
      <c r="F120" s="17"/>
      <c r="G120" s="17"/>
      <c r="H120" s="17"/>
      <c r="I120" s="2"/>
      <c r="J120" s="2"/>
    </row>
    <row r="121" spans="1:10" s="1" customFormat="1" ht="15" customHeight="1" x14ac:dyDescent="0.3">
      <c r="A121" s="2"/>
      <c r="B121" s="2"/>
      <c r="C121" s="2"/>
      <c r="D121" s="2"/>
      <c r="E121" s="17"/>
      <c r="F121" s="17"/>
      <c r="G121" s="17"/>
      <c r="H121" s="17"/>
      <c r="I121" s="2"/>
      <c r="J121" s="2"/>
    </row>
    <row r="122" spans="1:10" s="1" customFormat="1" ht="15" customHeight="1" x14ac:dyDescent="0.3">
      <c r="A122" s="2"/>
      <c r="B122" s="2"/>
      <c r="C122" s="2"/>
      <c r="D122" s="2"/>
      <c r="E122" s="17"/>
      <c r="F122" s="17"/>
      <c r="G122" s="17"/>
      <c r="H122" s="17"/>
      <c r="I122" s="2"/>
      <c r="J122" s="2"/>
    </row>
    <row r="123" spans="1:10" s="1" customFormat="1" ht="15" customHeight="1" x14ac:dyDescent="0.3">
      <c r="A123" s="2"/>
      <c r="B123" s="2"/>
      <c r="C123" s="2"/>
      <c r="D123" s="2"/>
      <c r="E123" s="17"/>
      <c r="F123" s="17"/>
      <c r="G123" s="17"/>
      <c r="H123" s="17"/>
      <c r="I123" s="2"/>
      <c r="J123" s="2"/>
    </row>
    <row r="124" spans="1:10" s="1" customFormat="1" ht="15" customHeight="1" x14ac:dyDescent="0.3">
      <c r="A124" s="2"/>
      <c r="B124" s="2"/>
      <c r="C124" s="2"/>
      <c r="D124" s="2"/>
      <c r="E124" s="17"/>
      <c r="F124" s="17"/>
      <c r="G124" s="17"/>
      <c r="H124" s="17"/>
      <c r="I124" s="2"/>
      <c r="J124" s="2"/>
    </row>
    <row r="125" spans="1:10" s="1" customFormat="1" ht="15" customHeight="1" x14ac:dyDescent="0.3">
      <c r="A125" s="2"/>
      <c r="B125" s="2"/>
      <c r="C125" s="2"/>
      <c r="D125" s="2"/>
      <c r="E125" s="17"/>
      <c r="F125" s="17"/>
      <c r="G125" s="17"/>
      <c r="H125" s="17"/>
      <c r="I125" s="2"/>
      <c r="J125" s="2"/>
    </row>
    <row r="126" spans="1:10" s="1" customFormat="1" ht="15" customHeight="1" x14ac:dyDescent="0.3">
      <c r="A126" s="2"/>
      <c r="B126" s="2"/>
      <c r="C126" s="2"/>
      <c r="D126" s="2"/>
      <c r="E126" s="17"/>
      <c r="F126" s="17"/>
      <c r="G126" s="17"/>
      <c r="H126" s="17"/>
      <c r="I126" s="2"/>
      <c r="J126" s="2"/>
    </row>
    <row r="127" spans="1:10" s="1" customFormat="1" ht="15" customHeight="1" x14ac:dyDescent="0.3">
      <c r="A127" s="2"/>
      <c r="B127" s="2"/>
      <c r="C127" s="2"/>
      <c r="D127" s="2"/>
      <c r="E127" s="17"/>
      <c r="F127" s="17"/>
      <c r="G127" s="17"/>
      <c r="H127" s="17"/>
      <c r="I127" s="2"/>
      <c r="J127" s="2"/>
    </row>
    <row r="128" spans="1:10" s="1" customFormat="1" ht="15" customHeight="1" x14ac:dyDescent="0.3">
      <c r="A128" s="2"/>
      <c r="B128" s="2"/>
      <c r="C128" s="2"/>
      <c r="D128" s="2"/>
      <c r="E128" s="17"/>
      <c r="F128" s="17"/>
      <c r="G128" s="17"/>
      <c r="H128" s="17"/>
      <c r="I128" s="2"/>
      <c r="J128" s="2"/>
    </row>
    <row r="129" spans="1:10" s="1" customFormat="1" ht="15" customHeight="1" x14ac:dyDescent="0.3">
      <c r="A129" s="2"/>
      <c r="B129" s="2"/>
      <c r="C129" s="2"/>
      <c r="D129" s="2"/>
      <c r="E129" s="17"/>
      <c r="F129" s="17"/>
      <c r="G129" s="17"/>
      <c r="H129" s="17"/>
      <c r="I129" s="2"/>
      <c r="J129" s="2"/>
    </row>
    <row r="130" spans="1:10" s="1" customFormat="1" ht="15" customHeight="1" x14ac:dyDescent="0.3">
      <c r="A130" s="2"/>
      <c r="B130" s="2"/>
      <c r="C130" s="2"/>
      <c r="D130" s="2"/>
      <c r="E130" s="17"/>
      <c r="F130" s="17"/>
      <c r="G130" s="17"/>
      <c r="H130" s="17"/>
      <c r="I130" s="2"/>
      <c r="J130" s="2"/>
    </row>
    <row r="131" spans="1:10" s="1" customFormat="1" ht="15" customHeight="1" x14ac:dyDescent="0.3">
      <c r="A131" s="2"/>
      <c r="B131" s="2"/>
      <c r="C131" s="2"/>
      <c r="D131" s="2"/>
      <c r="E131" s="17"/>
      <c r="F131" s="17"/>
      <c r="G131" s="17"/>
      <c r="H131" s="17"/>
      <c r="I131" s="2"/>
      <c r="J131" s="2"/>
    </row>
    <row r="132" spans="1:10" s="1" customFormat="1" ht="15" customHeight="1" x14ac:dyDescent="0.3">
      <c r="A132" s="2"/>
      <c r="B132" s="2"/>
      <c r="C132" s="2"/>
      <c r="D132" s="2"/>
      <c r="E132" s="17"/>
      <c r="F132" s="17"/>
      <c r="G132" s="17"/>
      <c r="H132" s="17"/>
      <c r="I132" s="2"/>
      <c r="J132" s="2"/>
    </row>
    <row r="133" spans="1:10" s="1" customFormat="1" ht="15" customHeight="1" x14ac:dyDescent="0.3">
      <c r="A133" s="2"/>
      <c r="B133" s="2"/>
      <c r="C133" s="2"/>
      <c r="D133" s="2"/>
      <c r="E133" s="17"/>
      <c r="F133" s="17"/>
      <c r="G133" s="17"/>
      <c r="H133" s="17"/>
      <c r="I133" s="2"/>
      <c r="J133" s="2"/>
    </row>
    <row r="134" spans="1:10" s="1" customFormat="1" ht="15" customHeight="1" x14ac:dyDescent="0.3">
      <c r="A134" s="2"/>
      <c r="B134" s="2"/>
      <c r="C134" s="2"/>
      <c r="D134" s="2"/>
      <c r="E134" s="17"/>
      <c r="F134" s="17"/>
      <c r="G134" s="17"/>
      <c r="H134" s="17"/>
      <c r="I134" s="2"/>
      <c r="J134" s="2"/>
    </row>
    <row r="135" spans="1:10" s="1" customFormat="1" ht="15" customHeight="1" x14ac:dyDescent="0.3">
      <c r="A135" s="2"/>
      <c r="B135" s="2"/>
      <c r="C135" s="2"/>
      <c r="D135" s="2"/>
      <c r="E135" s="17"/>
      <c r="F135" s="17"/>
      <c r="G135" s="17"/>
      <c r="H135" s="17"/>
      <c r="I135" s="2"/>
      <c r="J135" s="2"/>
    </row>
    <row r="136" spans="1:10" s="1" customFormat="1" ht="15" customHeight="1" x14ac:dyDescent="0.3">
      <c r="A136" s="2"/>
      <c r="B136" s="2"/>
      <c r="C136" s="2"/>
      <c r="D136" s="2"/>
      <c r="E136" s="17"/>
      <c r="F136" s="17"/>
      <c r="G136" s="17"/>
      <c r="H136" s="17"/>
      <c r="I136" s="2"/>
      <c r="J136" s="2"/>
    </row>
    <row r="137" spans="1:10" s="1" customFormat="1" ht="15" customHeight="1" x14ac:dyDescent="0.3">
      <c r="A137" s="2"/>
      <c r="B137" s="2"/>
      <c r="C137" s="2"/>
      <c r="D137" s="2"/>
      <c r="E137" s="17"/>
      <c r="F137" s="17"/>
      <c r="G137" s="17"/>
      <c r="H137" s="17"/>
      <c r="I137" s="2"/>
      <c r="J137" s="2"/>
    </row>
    <row r="138" spans="1:10" s="1" customFormat="1" ht="15" customHeight="1" x14ac:dyDescent="0.3">
      <c r="A138" s="2"/>
      <c r="B138" s="2"/>
      <c r="C138" s="2"/>
      <c r="D138" s="2"/>
      <c r="E138" s="17"/>
      <c r="F138" s="17"/>
      <c r="G138" s="17"/>
      <c r="H138" s="17"/>
      <c r="I138" s="2"/>
      <c r="J138" s="2"/>
    </row>
    <row r="139" spans="1:10" s="1" customFormat="1" ht="15" customHeight="1" x14ac:dyDescent="0.3">
      <c r="A139" s="2"/>
      <c r="B139" s="2"/>
      <c r="C139" s="2"/>
      <c r="D139" s="2"/>
      <c r="E139" s="17"/>
      <c r="F139" s="17"/>
      <c r="G139" s="17"/>
      <c r="H139" s="17"/>
      <c r="I139" s="2"/>
      <c r="J139" s="2"/>
    </row>
    <row r="140" spans="1:10" s="1" customFormat="1" ht="15" customHeight="1" x14ac:dyDescent="0.3">
      <c r="A140" s="2"/>
      <c r="B140" s="2"/>
      <c r="C140" s="2"/>
      <c r="D140" s="2"/>
      <c r="E140" s="17"/>
      <c r="F140" s="17"/>
      <c r="G140" s="17"/>
      <c r="H140" s="17"/>
      <c r="I140" s="2"/>
      <c r="J140" s="2"/>
    </row>
    <row r="141" spans="1:10" s="1" customFormat="1" ht="15" customHeight="1" x14ac:dyDescent="0.3">
      <c r="A141" s="2"/>
      <c r="B141" s="2"/>
      <c r="C141" s="2"/>
      <c r="D141" s="2"/>
      <c r="E141" s="17"/>
      <c r="F141" s="17"/>
      <c r="G141" s="17"/>
      <c r="H141" s="17"/>
      <c r="I141" s="2"/>
      <c r="J141" s="2"/>
    </row>
    <row r="142" spans="1:10" s="1" customFormat="1" ht="15" customHeight="1" x14ac:dyDescent="0.3">
      <c r="A142" s="2"/>
      <c r="B142" s="2"/>
      <c r="C142" s="2"/>
      <c r="D142" s="2"/>
      <c r="E142" s="17"/>
      <c r="F142" s="17"/>
      <c r="G142" s="17"/>
      <c r="H142" s="17"/>
      <c r="I142" s="2"/>
      <c r="J142" s="2"/>
    </row>
    <row r="143" spans="1:10" s="1" customFormat="1" ht="15" customHeight="1" x14ac:dyDescent="0.3">
      <c r="A143" s="2"/>
      <c r="B143" s="2"/>
      <c r="C143" s="2"/>
      <c r="D143" s="2"/>
      <c r="E143" s="17"/>
      <c r="F143" s="17"/>
      <c r="G143" s="17"/>
      <c r="H143" s="17"/>
      <c r="I143" s="2"/>
      <c r="J143" s="2"/>
    </row>
    <row r="144" spans="1:10" s="1" customFormat="1" ht="15" customHeight="1" x14ac:dyDescent="0.3">
      <c r="A144" s="2"/>
      <c r="B144" s="2"/>
      <c r="C144" s="2"/>
      <c r="D144" s="2"/>
      <c r="E144" s="17"/>
      <c r="F144" s="17"/>
      <c r="G144" s="17"/>
      <c r="H144" s="17"/>
      <c r="I144" s="2"/>
      <c r="J144" s="2"/>
    </row>
    <row r="145" spans="1:10" s="1" customFormat="1" ht="15" customHeight="1" x14ac:dyDescent="0.3">
      <c r="A145" s="2"/>
      <c r="B145" s="2"/>
      <c r="C145" s="2"/>
      <c r="D145" s="2"/>
      <c r="E145" s="17"/>
      <c r="F145" s="17"/>
      <c r="G145" s="17"/>
      <c r="H145" s="17"/>
      <c r="I145" s="2"/>
      <c r="J145" s="2"/>
    </row>
    <row r="146" spans="1:10" s="1" customFormat="1" ht="15" customHeight="1" x14ac:dyDescent="0.3">
      <c r="A146" s="2"/>
      <c r="B146" s="2"/>
      <c r="C146" s="2"/>
      <c r="D146" s="2"/>
      <c r="E146" s="17"/>
      <c r="F146" s="17"/>
      <c r="G146" s="17"/>
      <c r="H146" s="17"/>
      <c r="I146" s="2"/>
      <c r="J146" s="2"/>
    </row>
    <row r="147" spans="1:10" s="1" customFormat="1" ht="15" customHeight="1" x14ac:dyDescent="0.3">
      <c r="A147" s="2"/>
      <c r="B147" s="2"/>
      <c r="C147" s="2"/>
      <c r="D147" s="2"/>
      <c r="E147" s="17"/>
      <c r="F147" s="17"/>
      <c r="G147" s="17"/>
      <c r="H147" s="17"/>
      <c r="I147" s="2"/>
      <c r="J147" s="2"/>
    </row>
    <row r="148" spans="1:10" s="1" customFormat="1" ht="15" customHeight="1" x14ac:dyDescent="0.3">
      <c r="A148" s="2"/>
      <c r="B148" s="2"/>
      <c r="C148" s="2"/>
      <c r="D148" s="2"/>
      <c r="E148" s="17"/>
      <c r="F148" s="17"/>
      <c r="G148" s="17"/>
      <c r="H148" s="17"/>
      <c r="I148" s="2"/>
      <c r="J148" s="2"/>
    </row>
    <row r="149" spans="1:10" s="1" customFormat="1" ht="15" customHeight="1" x14ac:dyDescent="0.3">
      <c r="A149" s="2"/>
      <c r="B149" s="2"/>
      <c r="C149" s="2"/>
      <c r="D149" s="2"/>
      <c r="E149" s="17"/>
      <c r="F149" s="17"/>
      <c r="G149" s="17"/>
      <c r="H149" s="17"/>
      <c r="I149" s="2"/>
      <c r="J149" s="2"/>
    </row>
    <row r="150" spans="1:10" s="1" customFormat="1" ht="15" customHeight="1" x14ac:dyDescent="0.3">
      <c r="A150" s="2"/>
      <c r="B150" s="2"/>
      <c r="C150" s="2"/>
      <c r="D150" s="2"/>
      <c r="E150" s="17"/>
      <c r="F150" s="17"/>
      <c r="G150" s="17"/>
      <c r="H150" s="17"/>
      <c r="I150" s="2"/>
      <c r="J150" s="2"/>
    </row>
    <row r="151" spans="1:10" s="1" customFormat="1" ht="15" customHeight="1" x14ac:dyDescent="0.3">
      <c r="A151" s="2"/>
      <c r="B151" s="2"/>
      <c r="C151" s="2"/>
      <c r="D151" s="2"/>
      <c r="E151" s="17"/>
      <c r="F151" s="17"/>
      <c r="G151" s="17"/>
      <c r="H151" s="17"/>
      <c r="I151" s="2"/>
      <c r="J151" s="2"/>
    </row>
    <row r="152" spans="1:10" s="1" customFormat="1" ht="15" customHeight="1" x14ac:dyDescent="0.3">
      <c r="A152" s="2"/>
      <c r="B152" s="2"/>
      <c r="C152" s="2"/>
      <c r="D152" s="2"/>
      <c r="E152" s="17"/>
      <c r="F152" s="17"/>
      <c r="G152" s="17"/>
      <c r="H152" s="17"/>
      <c r="I152" s="2"/>
      <c r="J152" s="2"/>
    </row>
    <row r="153" spans="1:10" s="1" customFormat="1" ht="15" customHeight="1" x14ac:dyDescent="0.3">
      <c r="A153" s="2"/>
      <c r="B153" s="2"/>
      <c r="C153" s="2"/>
      <c r="D153" s="2"/>
      <c r="E153" s="17"/>
      <c r="F153" s="17"/>
      <c r="G153" s="17"/>
      <c r="H153" s="17"/>
      <c r="I153" s="2"/>
      <c r="J153" s="2"/>
    </row>
    <row r="154" spans="1:10" s="1" customFormat="1" ht="15" customHeight="1" x14ac:dyDescent="0.3">
      <c r="A154" s="2"/>
      <c r="B154" s="2"/>
      <c r="C154" s="2"/>
      <c r="D154" s="2"/>
      <c r="E154" s="17"/>
      <c r="F154" s="17"/>
      <c r="G154" s="17"/>
      <c r="H154" s="17"/>
      <c r="I154" s="2"/>
      <c r="J154" s="2"/>
    </row>
    <row r="155" spans="1:10" s="1" customFormat="1" ht="15" customHeight="1" x14ac:dyDescent="0.3">
      <c r="A155" s="2"/>
      <c r="B155" s="2"/>
      <c r="C155" s="2"/>
      <c r="D155" s="2"/>
      <c r="E155" s="17"/>
      <c r="F155" s="17"/>
      <c r="G155" s="17"/>
      <c r="H155" s="17"/>
      <c r="I155" s="2"/>
      <c r="J155" s="2"/>
    </row>
    <row r="156" spans="1:10" s="1" customFormat="1" ht="15" customHeight="1" x14ac:dyDescent="0.3">
      <c r="A156" s="2"/>
      <c r="B156" s="2"/>
      <c r="C156" s="2"/>
      <c r="D156" s="2"/>
      <c r="E156" s="17"/>
      <c r="F156" s="17"/>
      <c r="G156" s="17"/>
      <c r="H156" s="17"/>
      <c r="I156" s="2"/>
      <c r="J156" s="2"/>
    </row>
    <row r="157" spans="1:10" s="1" customFormat="1" ht="15" customHeight="1" x14ac:dyDescent="0.3">
      <c r="A157" s="2"/>
      <c r="B157" s="2"/>
      <c r="C157" s="2"/>
      <c r="D157" s="2"/>
      <c r="E157" s="17"/>
      <c r="F157" s="17"/>
      <c r="G157" s="17"/>
      <c r="H157" s="17"/>
      <c r="I157" s="2"/>
      <c r="J157" s="2"/>
    </row>
    <row r="158" spans="1:10" s="1" customFormat="1" ht="15" customHeight="1" x14ac:dyDescent="0.3">
      <c r="A158" s="2"/>
      <c r="B158" s="2"/>
      <c r="C158" s="2"/>
      <c r="D158" s="2"/>
      <c r="E158" s="17"/>
      <c r="F158" s="17"/>
      <c r="G158" s="17"/>
      <c r="H158" s="17"/>
      <c r="I158" s="2"/>
      <c r="J158" s="2"/>
    </row>
    <row r="159" spans="1:10" s="1" customFormat="1" ht="15" customHeight="1" x14ac:dyDescent="0.3">
      <c r="A159" s="2"/>
      <c r="B159" s="2"/>
      <c r="C159" s="2"/>
      <c r="D159" s="2"/>
      <c r="E159" s="17"/>
      <c r="F159" s="17"/>
      <c r="G159" s="17"/>
      <c r="H159" s="17"/>
      <c r="I159" s="2"/>
      <c r="J159" s="2"/>
    </row>
    <row r="160" spans="1:10" s="1" customFormat="1" ht="15" customHeight="1" x14ac:dyDescent="0.3">
      <c r="A160" s="2"/>
      <c r="B160" s="2"/>
      <c r="C160" s="2"/>
      <c r="D160" s="2"/>
      <c r="E160" s="17"/>
      <c r="F160" s="17"/>
      <c r="G160" s="17"/>
      <c r="H160" s="17"/>
      <c r="I160" s="2"/>
      <c r="J160" s="2"/>
    </row>
    <row r="161" spans="1:10" s="1" customFormat="1" ht="15" customHeight="1" x14ac:dyDescent="0.3">
      <c r="A161" s="2"/>
      <c r="B161" s="2"/>
      <c r="C161" s="2"/>
      <c r="D161" s="2"/>
      <c r="E161" s="17"/>
      <c r="F161" s="17"/>
      <c r="G161" s="17"/>
      <c r="H161" s="17"/>
      <c r="I161" s="2"/>
      <c r="J161" s="2"/>
    </row>
    <row r="162" spans="1:10" s="1" customFormat="1" ht="15" customHeight="1" x14ac:dyDescent="0.3">
      <c r="A162" s="2"/>
      <c r="B162" s="2"/>
      <c r="C162" s="2"/>
      <c r="D162" s="2"/>
      <c r="E162" s="17"/>
      <c r="F162" s="17"/>
      <c r="G162" s="17"/>
      <c r="H162" s="17"/>
      <c r="I162" s="2"/>
      <c r="J162" s="2"/>
    </row>
    <row r="163" spans="1:10" s="1" customFormat="1" ht="15" customHeight="1" x14ac:dyDescent="0.3">
      <c r="A163" s="2"/>
      <c r="B163" s="2"/>
      <c r="C163" s="2"/>
      <c r="D163" s="2"/>
      <c r="E163" s="17"/>
      <c r="F163" s="17"/>
      <c r="G163" s="17"/>
      <c r="H163" s="17"/>
      <c r="I163" s="2"/>
      <c r="J163" s="2"/>
    </row>
    <row r="164" spans="1:10" s="1" customFormat="1" ht="15" customHeight="1" x14ac:dyDescent="0.3">
      <c r="A164" s="2"/>
      <c r="B164" s="2"/>
      <c r="C164" s="2"/>
      <c r="D164" s="2"/>
      <c r="E164" s="17"/>
      <c r="F164" s="17"/>
      <c r="G164" s="17"/>
      <c r="H164" s="17"/>
      <c r="I164" s="2"/>
      <c r="J164" s="2"/>
    </row>
    <row r="165" spans="1:10" s="1" customFormat="1" ht="15" customHeight="1" x14ac:dyDescent="0.3">
      <c r="A165" s="2"/>
      <c r="B165" s="2"/>
      <c r="C165" s="2"/>
      <c r="D165" s="2"/>
      <c r="E165" s="17"/>
      <c r="F165" s="17"/>
      <c r="G165" s="17"/>
      <c r="H165" s="17"/>
      <c r="I165" s="2"/>
      <c r="J165" s="2"/>
    </row>
    <row r="166" spans="1:10" s="1" customFormat="1" ht="15" customHeight="1" x14ac:dyDescent="0.3">
      <c r="A166" s="2"/>
      <c r="B166" s="2"/>
      <c r="C166" s="2"/>
      <c r="D166" s="2"/>
      <c r="E166" s="17"/>
      <c r="F166" s="17"/>
      <c r="G166" s="17"/>
      <c r="H166" s="17"/>
      <c r="I166" s="2"/>
      <c r="J166" s="2"/>
    </row>
    <row r="167" spans="1:10" s="1" customFormat="1" ht="15" customHeight="1" x14ac:dyDescent="0.3">
      <c r="A167" s="2"/>
      <c r="B167" s="2"/>
      <c r="C167" s="2"/>
      <c r="D167" s="2"/>
      <c r="E167" s="17"/>
      <c r="F167" s="17"/>
      <c r="G167" s="17"/>
      <c r="H167" s="17"/>
      <c r="I167" s="2"/>
      <c r="J167" s="2"/>
    </row>
    <row r="168" spans="1:10" s="1" customFormat="1" ht="15" customHeight="1" x14ac:dyDescent="0.3">
      <c r="A168" s="2"/>
      <c r="B168" s="2"/>
      <c r="C168" s="2"/>
      <c r="D168" s="2"/>
      <c r="E168" s="17"/>
      <c r="F168" s="17"/>
      <c r="G168" s="17"/>
      <c r="H168" s="17"/>
      <c r="I168" s="2"/>
      <c r="J168" s="2"/>
    </row>
    <row r="169" spans="1:10" s="1" customFormat="1" ht="15" customHeight="1" x14ac:dyDescent="0.3">
      <c r="A169" s="2"/>
      <c r="B169" s="2"/>
      <c r="C169" s="2"/>
      <c r="D169" s="2"/>
      <c r="E169" s="17"/>
      <c r="F169" s="17"/>
      <c r="G169" s="17"/>
      <c r="H169" s="17"/>
      <c r="I169" s="2"/>
      <c r="J169" s="2"/>
    </row>
    <row r="170" spans="1:10" s="1" customFormat="1" ht="15" customHeight="1" x14ac:dyDescent="0.3">
      <c r="A170" s="2"/>
      <c r="B170" s="2"/>
      <c r="C170" s="2"/>
      <c r="D170" s="2"/>
      <c r="E170" s="17"/>
      <c r="F170" s="17"/>
      <c r="G170" s="17"/>
      <c r="H170" s="17"/>
      <c r="I170" s="2"/>
      <c r="J170" s="2"/>
    </row>
    <row r="171" spans="1:10" s="1" customFormat="1" ht="15" customHeight="1" x14ac:dyDescent="0.3">
      <c r="A171" s="2"/>
      <c r="B171" s="2"/>
      <c r="C171" s="2"/>
      <c r="D171" s="2"/>
      <c r="E171" s="17"/>
      <c r="F171" s="17"/>
      <c r="G171" s="17"/>
      <c r="H171" s="17"/>
      <c r="I171" s="2"/>
      <c r="J171" s="2"/>
    </row>
    <row r="172" spans="1:10" s="1" customFormat="1" ht="15" customHeight="1" x14ac:dyDescent="0.3">
      <c r="A172" s="2"/>
      <c r="B172" s="2"/>
      <c r="C172" s="2"/>
      <c r="D172" s="2"/>
      <c r="E172" s="17"/>
      <c r="F172" s="17"/>
      <c r="G172" s="17"/>
      <c r="H172" s="17"/>
      <c r="I172" s="2"/>
      <c r="J172" s="2"/>
    </row>
    <row r="173" spans="1:10" s="1" customFormat="1" ht="15" customHeight="1" x14ac:dyDescent="0.3">
      <c r="A173" s="2"/>
      <c r="B173" s="2"/>
      <c r="C173" s="2"/>
      <c r="D173" s="2"/>
      <c r="E173" s="17"/>
      <c r="F173" s="17"/>
      <c r="G173" s="17"/>
      <c r="H173" s="17"/>
      <c r="I173" s="2"/>
      <c r="J173" s="2"/>
    </row>
    <row r="174" spans="1:10" s="1" customFormat="1" ht="15" customHeight="1" x14ac:dyDescent="0.3">
      <c r="A174" s="2"/>
      <c r="B174" s="2"/>
      <c r="C174" s="2"/>
      <c r="D174" s="2"/>
      <c r="E174" s="17"/>
      <c r="F174" s="17"/>
      <c r="G174" s="17"/>
      <c r="H174" s="17"/>
      <c r="I174" s="2"/>
      <c r="J174" s="2"/>
    </row>
    <row r="175" spans="1:10" ht="15" customHeight="1" x14ac:dyDescent="0.3">
      <c r="A175" s="2"/>
      <c r="B175" s="2"/>
      <c r="C175" s="2"/>
      <c r="D175" s="2"/>
      <c r="E175" s="17"/>
      <c r="F175" s="17"/>
      <c r="G175" s="17"/>
      <c r="H175" s="17"/>
      <c r="J175" s="2"/>
    </row>
  </sheetData>
  <autoFilter ref="A2:H107" xr:uid="{00000000-0009-0000-0000-000000000000}"/>
  <mergeCells count="1">
    <mergeCell ref="A1:H1"/>
  </mergeCells>
  <conditionalFormatting sqref="D6 D8:D9 D11:D14 G24:H24 E54:F58 D61:G68 E73:G77 A94:A97 H48:H69 H71:H110 F70">
    <cfRule type="cellIs" dxfId="61" priority="70" stopIfTrue="1" operator="lessThan">
      <formula>0</formula>
    </cfRule>
  </conditionalFormatting>
  <conditionalFormatting sqref="D20:D22 D31 D41:D59 D61:D77">
    <cfRule type="cellIs" dxfId="60" priority="8" stopIfTrue="1" operator="lessThan">
      <formula>0</formula>
    </cfRule>
  </conditionalFormatting>
  <conditionalFormatting sqref="D83:D89">
    <cfRule type="cellIs" dxfId="59" priority="29" stopIfTrue="1" operator="lessThan">
      <formula>0</formula>
    </cfRule>
  </conditionalFormatting>
  <conditionalFormatting sqref="D82:F82">
    <cfRule type="cellIs" dxfId="58" priority="30" stopIfTrue="1" operator="lessThan">
      <formula>0</formula>
    </cfRule>
  </conditionalFormatting>
  <conditionalFormatting sqref="D78:G81">
    <cfRule type="cellIs" dxfId="57" priority="31" stopIfTrue="1" operator="lessThan">
      <formula>0</formula>
    </cfRule>
  </conditionalFormatting>
  <conditionalFormatting sqref="D101:G110">
    <cfRule type="cellIs" dxfId="56" priority="63" stopIfTrue="1" operator="lessThan">
      <formula>0</formula>
    </cfRule>
  </conditionalFormatting>
  <conditionalFormatting sqref="E24">
    <cfRule type="cellIs" dxfId="55" priority="90" stopIfTrue="1" operator="lessThan">
      <formula>0</formula>
    </cfRule>
  </conditionalFormatting>
  <conditionalFormatting sqref="E41:F42">
    <cfRule type="cellIs" dxfId="54" priority="3" stopIfTrue="1" operator="lessThan">
      <formula>0</formula>
    </cfRule>
  </conditionalFormatting>
  <conditionalFormatting sqref="E34:G37 G38 E39:G40">
    <cfRule type="cellIs" dxfId="53" priority="52" stopIfTrue="1" operator="lessThan">
      <formula>0</formula>
    </cfRule>
  </conditionalFormatting>
  <conditionalFormatting sqref="E48:G49 G50:G51 E51:F51 F52:G52 G53:G58">
    <cfRule type="cellIs" dxfId="52" priority="110" stopIfTrue="1" operator="lessThan">
      <formula>0</formula>
    </cfRule>
  </conditionalFormatting>
  <conditionalFormatting sqref="E71:G71 G82:G83">
    <cfRule type="cellIs" dxfId="51" priority="84" stopIfTrue="1" operator="lessThan">
      <formula>0</formula>
    </cfRule>
  </conditionalFormatting>
  <conditionalFormatting sqref="E84:G89 D90:G98">
    <cfRule type="cellIs" dxfId="50" priority="66" stopIfTrue="1" operator="lessThan">
      <formula>0</formula>
    </cfRule>
  </conditionalFormatting>
  <conditionalFormatting sqref="E3:H3">
    <cfRule type="cellIs" dxfId="49" priority="15" stopIfTrue="1" operator="lessThan">
      <formula>0</formula>
    </cfRule>
  </conditionalFormatting>
  <conditionalFormatting sqref="E32:H32">
    <cfRule type="cellIs" dxfId="48" priority="4" stopIfTrue="1" operator="lessThan">
      <formula>0</formula>
    </cfRule>
  </conditionalFormatting>
  <conditionalFormatting sqref="F25:G25">
    <cfRule type="cellIs" dxfId="47" priority="285" stopIfTrue="1" operator="lessThan">
      <formula>0</formula>
    </cfRule>
  </conditionalFormatting>
  <conditionalFormatting sqref="F59:G60">
    <cfRule type="cellIs" dxfId="46" priority="27" stopIfTrue="1" operator="lessThan">
      <formula>0</formula>
    </cfRule>
  </conditionalFormatting>
  <conditionalFormatting sqref="F72:G72">
    <cfRule type="cellIs" dxfId="45" priority="82" stopIfTrue="1" operator="lessThan">
      <formula>0</formula>
    </cfRule>
  </conditionalFormatting>
  <conditionalFormatting sqref="G4:G13 A93:C93">
    <cfRule type="cellIs" dxfId="44" priority="198" stopIfTrue="1" operator="lessThan">
      <formula>0</formula>
    </cfRule>
  </conditionalFormatting>
  <conditionalFormatting sqref="G26:G27">
    <cfRule type="cellIs" dxfId="43" priority="282" stopIfTrue="1" operator="lessThan">
      <formula>0</formula>
    </cfRule>
  </conditionalFormatting>
  <conditionalFormatting sqref="G99 E100:G100 D110:H110 E111:H175 D115">
    <cfRule type="cellIs" dxfId="42" priority="364" stopIfTrue="1" operator="lessThan">
      <formula>0</formula>
    </cfRule>
  </conditionalFormatting>
  <conditionalFormatting sqref="G11:H22">
    <cfRule type="cellIs" dxfId="41" priority="7" stopIfTrue="1" operator="lessThan">
      <formula>0</formula>
    </cfRule>
  </conditionalFormatting>
  <conditionalFormatting sqref="G28:H31 G33:H33">
    <cfRule type="cellIs" dxfId="40" priority="59" stopIfTrue="1" operator="lessThan">
      <formula>0</formula>
    </cfRule>
  </conditionalFormatting>
  <conditionalFormatting sqref="H4:H10 B83">
    <cfRule type="cellIs" dxfId="39" priority="212" stopIfTrue="1" operator="lessThan">
      <formula>0</formula>
    </cfRule>
  </conditionalFormatting>
  <conditionalFormatting sqref="H25:H27">
    <cfRule type="cellIs" dxfId="38" priority="6" stopIfTrue="1" operator="lessThan">
      <formula>0</formula>
    </cfRule>
  </conditionalFormatting>
  <conditionalFormatting sqref="H34:H40 G41:H47 C99:D100">
    <cfRule type="cellIs" dxfId="37" priority="65" stopIfTrue="1" operator="lessThan">
      <formula>0</formula>
    </cfRule>
  </conditionalFormatting>
  <conditionalFormatting sqref="D69:G69">
    <cfRule type="cellIs" dxfId="36" priority="2" stopIfTrue="1" operator="lessThan">
      <formula>0</formula>
    </cfRule>
  </conditionalFormatting>
  <conditionalFormatting sqref="G70">
    <cfRule type="cellIs" dxfId="35" priority="1" stopIfTrue="1" operator="lessThan">
      <formula>0</formula>
    </cfRule>
  </conditionalFormatting>
  <dataValidations count="1">
    <dataValidation type="list" allowBlank="1" showInputMessage="1" showErrorMessage="1" sqref="D3 D6 D8:D9 D11:D14 D17:D22 D24:D28 D31:D59 D61:D110" xr:uid="{00000000-0002-0000-0000-000001000000}">
      <formula1>$J$1:$J$19</formula1>
    </dataValidation>
  </dataValidations>
  <printOptions horizontalCentered="1"/>
  <pageMargins left="0.70866141732283472" right="0.70866141732283472" top="0.39370078740157483" bottom="0.39370078740157483" header="0.31496062992125984" footer="0.31496062992125984"/>
  <pageSetup scale="65" orientation="portrait" horizontalDpi="4294967294" verticalDpi="4294967294" r:id="rId1"/>
  <headerFooter>
    <oddFooter>&amp;C&amp;"Helvetica,Regular"&amp;12&amp;K000000&amp;P</oddFooter>
  </headerFooter>
  <rowBreaks count="1" manualBreakCount="1">
    <brk id="122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L246"/>
  <sheetViews>
    <sheetView showGridLines="0" zoomScaleNormal="100" workbookViewId="0">
      <pane ySplit="2" topLeftCell="A121" activePane="bottomLeft" state="frozen"/>
      <selection pane="bottomLeft" activeCell="B139" sqref="B139"/>
    </sheetView>
  </sheetViews>
  <sheetFormatPr baseColWidth="10" defaultColWidth="10.88671875" defaultRowHeight="15" customHeight="1" x14ac:dyDescent="0.3"/>
  <cols>
    <col min="1" max="1" width="3" style="43" customWidth="1"/>
    <col min="2" max="2" width="11.44140625" style="1" customWidth="1"/>
    <col min="3" max="3" width="7" style="1" bestFit="1" customWidth="1"/>
    <col min="4" max="4" width="30.109375" style="1" bestFit="1" customWidth="1"/>
    <col min="5" max="5" width="14.44140625" style="1" bestFit="1" customWidth="1"/>
    <col min="6" max="6" width="15" style="1" customWidth="1"/>
    <col min="7" max="7" width="15.5546875" style="1" customWidth="1"/>
    <col min="8" max="8" width="13.109375" style="1" customWidth="1"/>
    <col min="9" max="9" width="11.44140625" style="1" customWidth="1"/>
    <col min="10" max="11" width="10.88671875" style="1" customWidth="1"/>
    <col min="12" max="12" width="16.88671875" style="1" customWidth="1"/>
    <col min="13" max="246" width="10.88671875" style="1" customWidth="1"/>
  </cols>
  <sheetData>
    <row r="1" spans="1:12" ht="15" customHeight="1" x14ac:dyDescent="0.3">
      <c r="A1" s="39"/>
      <c r="B1" s="88" t="s">
        <v>2</v>
      </c>
      <c r="C1" s="87"/>
      <c r="D1" s="87"/>
      <c r="E1" s="89"/>
      <c r="F1" s="87"/>
      <c r="G1" s="87"/>
      <c r="H1" s="87"/>
      <c r="I1" s="87"/>
      <c r="J1" s="4"/>
      <c r="K1" s="2"/>
      <c r="L1" s="3" t="s">
        <v>0</v>
      </c>
    </row>
    <row r="2" spans="1:12" ht="29.25" customHeight="1" x14ac:dyDescent="0.3">
      <c r="A2" s="40"/>
      <c r="B2" s="7" t="s">
        <v>4</v>
      </c>
      <c r="C2" s="47" t="s">
        <v>5</v>
      </c>
      <c r="D2" s="7" t="s">
        <v>6</v>
      </c>
      <c r="E2" s="7" t="s">
        <v>7</v>
      </c>
      <c r="F2" s="7" t="s">
        <v>8</v>
      </c>
      <c r="G2" s="8" t="s">
        <v>9</v>
      </c>
      <c r="H2" s="8" t="s">
        <v>10</v>
      </c>
      <c r="I2" s="8" t="s">
        <v>11</v>
      </c>
      <c r="J2" s="4"/>
      <c r="K2" s="2"/>
      <c r="L2" s="3" t="s">
        <v>3</v>
      </c>
    </row>
    <row r="3" spans="1:12" ht="15" customHeight="1" x14ac:dyDescent="0.3">
      <c r="A3" s="41"/>
      <c r="B3" s="14">
        <v>46024</v>
      </c>
      <c r="C3" s="48">
        <v>1</v>
      </c>
      <c r="D3" s="81" t="s">
        <v>45</v>
      </c>
      <c r="E3" s="21" t="s">
        <v>3</v>
      </c>
      <c r="F3" s="19"/>
      <c r="G3" s="19"/>
      <c r="H3" s="20"/>
      <c r="I3" s="20">
        <v>-163.41</v>
      </c>
      <c r="J3" s="4"/>
      <c r="K3" s="2"/>
      <c r="L3" s="3" t="s">
        <v>13</v>
      </c>
    </row>
    <row r="4" spans="1:12" ht="15" customHeight="1" x14ac:dyDescent="0.3">
      <c r="A4" s="41"/>
      <c r="B4" s="14">
        <v>46024</v>
      </c>
      <c r="C4" s="48">
        <v>2</v>
      </c>
      <c r="D4" s="81" t="s">
        <v>48</v>
      </c>
      <c r="E4" s="82" t="s">
        <v>21</v>
      </c>
      <c r="F4" s="19"/>
      <c r="G4" s="19">
        <v>-30.89</v>
      </c>
      <c r="H4" s="20"/>
      <c r="I4" s="20"/>
      <c r="J4" s="4"/>
      <c r="K4" s="2"/>
      <c r="L4" s="2" t="s">
        <v>18</v>
      </c>
    </row>
    <row r="5" spans="1:12" ht="15" customHeight="1" x14ac:dyDescent="0.3">
      <c r="A5" s="41"/>
      <c r="B5" s="14">
        <v>46024</v>
      </c>
      <c r="C5" s="48">
        <v>3</v>
      </c>
      <c r="D5" s="81" t="s">
        <v>49</v>
      </c>
      <c r="E5" s="2" t="s">
        <v>20</v>
      </c>
      <c r="F5" s="19"/>
      <c r="G5" s="20">
        <v>-5</v>
      </c>
      <c r="H5" s="20"/>
      <c r="I5" s="20"/>
      <c r="J5" s="4"/>
      <c r="K5" s="2"/>
      <c r="L5" s="2" t="s">
        <v>14</v>
      </c>
    </row>
    <row r="6" spans="1:12" ht="15" customHeight="1" x14ac:dyDescent="0.3">
      <c r="A6" s="41"/>
      <c r="B6" s="14">
        <v>46024</v>
      </c>
      <c r="C6" s="48">
        <v>4</v>
      </c>
      <c r="D6" s="81" t="s">
        <v>50</v>
      </c>
      <c r="E6" s="3" t="s">
        <v>0</v>
      </c>
      <c r="F6" s="19"/>
      <c r="G6" s="20">
        <v>-70.599999999999994</v>
      </c>
      <c r="H6" s="20"/>
      <c r="I6" s="20"/>
      <c r="J6" s="4"/>
      <c r="K6" s="2"/>
      <c r="L6" s="2" t="s">
        <v>19</v>
      </c>
    </row>
    <row r="7" spans="1:12" ht="15" customHeight="1" x14ac:dyDescent="0.3">
      <c r="A7" s="41"/>
      <c r="B7" s="14">
        <v>46029</v>
      </c>
      <c r="C7" s="48">
        <v>5</v>
      </c>
      <c r="D7" s="81" t="s">
        <v>51</v>
      </c>
      <c r="E7" s="82" t="s">
        <v>21</v>
      </c>
      <c r="F7" s="19"/>
      <c r="G7" s="20">
        <v>-112</v>
      </c>
      <c r="H7" s="20"/>
      <c r="I7" s="20"/>
      <c r="J7" s="4"/>
      <c r="K7" s="2"/>
      <c r="L7" s="2" t="s">
        <v>20</v>
      </c>
    </row>
    <row r="8" spans="1:12" ht="15" customHeight="1" x14ac:dyDescent="0.3">
      <c r="A8" s="41"/>
      <c r="B8" s="14">
        <v>46029</v>
      </c>
      <c r="C8" s="48">
        <v>6</v>
      </c>
      <c r="D8" s="81" t="s">
        <v>51</v>
      </c>
      <c r="E8" s="82" t="s">
        <v>21</v>
      </c>
      <c r="F8" s="19"/>
      <c r="G8" s="20">
        <v>-52</v>
      </c>
      <c r="H8" s="20"/>
      <c r="I8" s="20"/>
      <c r="J8" s="4"/>
      <c r="K8" s="2"/>
      <c r="L8" s="2" t="s">
        <v>21</v>
      </c>
    </row>
    <row r="9" spans="1:12" ht="15" customHeight="1" x14ac:dyDescent="0.3">
      <c r="A9" s="41"/>
      <c r="B9" s="14">
        <v>46029</v>
      </c>
      <c r="C9" s="48">
        <v>7</v>
      </c>
      <c r="D9" s="3" t="s">
        <v>20</v>
      </c>
      <c r="E9" s="2" t="s">
        <v>20</v>
      </c>
      <c r="F9" s="19"/>
      <c r="G9" s="20">
        <v>-12</v>
      </c>
      <c r="H9" s="20"/>
      <c r="I9" s="20"/>
      <c r="J9" s="4"/>
      <c r="K9" s="2"/>
      <c r="L9" s="2" t="s">
        <v>22</v>
      </c>
    </row>
    <row r="10" spans="1:12" ht="15" customHeight="1" x14ac:dyDescent="0.3">
      <c r="A10" s="41"/>
      <c r="B10" s="14">
        <v>46031</v>
      </c>
      <c r="C10" s="48">
        <v>8</v>
      </c>
      <c r="D10" s="3" t="s">
        <v>46</v>
      </c>
      <c r="E10" s="3" t="s">
        <v>0</v>
      </c>
      <c r="F10" s="19"/>
      <c r="G10" s="20">
        <v>-5.07</v>
      </c>
      <c r="H10" s="20"/>
      <c r="I10" s="20"/>
      <c r="J10" s="4"/>
      <c r="K10" s="2"/>
      <c r="L10" s="2" t="s">
        <v>23</v>
      </c>
    </row>
    <row r="11" spans="1:12" ht="15" customHeight="1" x14ac:dyDescent="0.3">
      <c r="A11" s="41"/>
      <c r="B11" s="14">
        <v>46037</v>
      </c>
      <c r="C11" s="48">
        <v>9</v>
      </c>
      <c r="D11" s="3" t="s">
        <v>52</v>
      </c>
      <c r="E11" s="82" t="s">
        <v>21</v>
      </c>
      <c r="F11" s="19"/>
      <c r="G11" s="20">
        <v>-18.36</v>
      </c>
      <c r="H11" s="20"/>
      <c r="I11" s="20"/>
      <c r="J11" s="4"/>
      <c r="K11" s="2"/>
      <c r="L11" s="2" t="s">
        <v>12</v>
      </c>
    </row>
    <row r="12" spans="1:12" ht="15" customHeight="1" x14ac:dyDescent="0.3">
      <c r="A12" s="41"/>
      <c r="B12" s="14">
        <v>46041</v>
      </c>
      <c r="C12" s="48">
        <v>10</v>
      </c>
      <c r="D12" s="3" t="s">
        <v>53</v>
      </c>
      <c r="E12" s="2" t="s">
        <v>18</v>
      </c>
      <c r="F12" s="19"/>
      <c r="G12" s="20">
        <v>-26.03</v>
      </c>
      <c r="H12" s="20"/>
      <c r="I12" s="20"/>
      <c r="J12" s="4"/>
      <c r="K12" s="2"/>
      <c r="L12" s="2" t="s">
        <v>24</v>
      </c>
    </row>
    <row r="13" spans="1:12" ht="15" customHeight="1" x14ac:dyDescent="0.3">
      <c r="A13" s="41"/>
      <c r="B13" s="14">
        <v>46041</v>
      </c>
      <c r="C13" s="48">
        <v>11</v>
      </c>
      <c r="D13" s="81" t="s">
        <v>54</v>
      </c>
      <c r="E13" s="82" t="s">
        <v>27</v>
      </c>
      <c r="F13" s="19"/>
      <c r="G13" s="19"/>
      <c r="H13" s="20"/>
      <c r="I13" s="20">
        <v>-3000</v>
      </c>
      <c r="J13" s="4"/>
      <c r="K13" s="2"/>
      <c r="L13" s="2" t="s">
        <v>25</v>
      </c>
    </row>
    <row r="14" spans="1:12" ht="15" customHeight="1" x14ac:dyDescent="0.3">
      <c r="A14" s="41"/>
      <c r="B14" s="14">
        <v>42390</v>
      </c>
      <c r="C14" s="48">
        <v>12</v>
      </c>
      <c r="D14" s="81" t="s">
        <v>46</v>
      </c>
      <c r="E14" s="3" t="s">
        <v>0</v>
      </c>
      <c r="F14" s="19"/>
      <c r="G14" s="20">
        <v>-24.35</v>
      </c>
      <c r="H14" s="20"/>
      <c r="I14" s="20"/>
      <c r="J14" s="4"/>
      <c r="K14" s="2"/>
      <c r="L14" s="2" t="s">
        <v>26</v>
      </c>
    </row>
    <row r="15" spans="1:12" ht="15" customHeight="1" x14ac:dyDescent="0.3">
      <c r="A15" s="41"/>
      <c r="B15" s="14">
        <v>46045</v>
      </c>
      <c r="C15" s="48">
        <v>13</v>
      </c>
      <c r="D15" s="81" t="s">
        <v>55</v>
      </c>
      <c r="E15" s="82" t="s">
        <v>21</v>
      </c>
      <c r="F15" s="19"/>
      <c r="G15" s="20">
        <v>-4.99</v>
      </c>
      <c r="H15" s="20"/>
      <c r="I15" s="20"/>
      <c r="J15" s="4"/>
      <c r="K15" s="2"/>
      <c r="L15" s="2" t="s">
        <v>27</v>
      </c>
    </row>
    <row r="16" spans="1:12" ht="15" customHeight="1" x14ac:dyDescent="0.3">
      <c r="A16" s="41"/>
      <c r="B16" s="14">
        <v>46048</v>
      </c>
      <c r="C16" s="48">
        <v>14</v>
      </c>
      <c r="D16" s="81" t="s">
        <v>56</v>
      </c>
      <c r="E16" s="3" t="s">
        <v>13</v>
      </c>
      <c r="F16" s="19"/>
      <c r="G16" s="20">
        <v>-50</v>
      </c>
      <c r="H16" s="20"/>
      <c r="I16" s="20"/>
      <c r="J16" s="4"/>
      <c r="K16" s="2"/>
      <c r="L16" s="2" t="s">
        <v>28</v>
      </c>
    </row>
    <row r="17" spans="1:12" ht="15" customHeight="1" x14ac:dyDescent="0.3">
      <c r="A17" s="41"/>
      <c r="B17" s="14">
        <v>46048</v>
      </c>
      <c r="C17" s="48">
        <v>15</v>
      </c>
      <c r="D17" s="81" t="s">
        <v>57</v>
      </c>
      <c r="E17" s="3" t="s">
        <v>13</v>
      </c>
      <c r="F17" s="19"/>
      <c r="G17" s="20">
        <v>-330.82</v>
      </c>
      <c r="H17" s="20"/>
      <c r="I17" s="20"/>
      <c r="J17" s="4"/>
      <c r="K17" s="2"/>
      <c r="L17" s="2" t="s">
        <v>29</v>
      </c>
    </row>
    <row r="18" spans="1:12" ht="15" customHeight="1" x14ac:dyDescent="0.3">
      <c r="A18" s="41"/>
      <c r="B18" s="14">
        <v>46048</v>
      </c>
      <c r="C18" s="48">
        <v>16</v>
      </c>
      <c r="D18" s="3" t="s">
        <v>58</v>
      </c>
      <c r="E18" s="2" t="s">
        <v>18</v>
      </c>
      <c r="F18" s="19"/>
      <c r="G18" s="20">
        <v>-705.5</v>
      </c>
      <c r="H18" s="20"/>
      <c r="I18" s="20"/>
      <c r="J18" s="4"/>
      <c r="K18" s="2"/>
      <c r="L18" s="2" t="s">
        <v>32</v>
      </c>
    </row>
    <row r="19" spans="1:12" ht="15" customHeight="1" x14ac:dyDescent="0.3">
      <c r="A19" s="41"/>
      <c r="B19" s="14">
        <v>46056</v>
      </c>
      <c r="C19" s="48" t="s">
        <v>73</v>
      </c>
      <c r="D19" s="81" t="s">
        <v>51</v>
      </c>
      <c r="E19" s="82" t="s">
        <v>21</v>
      </c>
      <c r="F19" s="19"/>
      <c r="G19" s="20">
        <v>-112</v>
      </c>
      <c r="H19" s="20"/>
      <c r="I19" s="20"/>
      <c r="J19" s="4"/>
      <c r="K19" s="2"/>
      <c r="L19" s="2" t="s">
        <v>30</v>
      </c>
    </row>
    <row r="20" spans="1:12" ht="15" customHeight="1" x14ac:dyDescent="0.3">
      <c r="A20" s="41"/>
      <c r="B20" s="14">
        <v>46056</v>
      </c>
      <c r="C20" s="48" t="s">
        <v>74</v>
      </c>
      <c r="D20" s="81" t="s">
        <v>51</v>
      </c>
      <c r="E20" s="82" t="s">
        <v>21</v>
      </c>
      <c r="F20" s="19"/>
      <c r="G20" s="20">
        <v>-52</v>
      </c>
      <c r="H20" s="20"/>
      <c r="I20" s="20"/>
      <c r="J20" s="4"/>
      <c r="K20" s="2"/>
      <c r="L20" s="2"/>
    </row>
    <row r="21" spans="1:12" ht="15" customHeight="1" x14ac:dyDescent="0.3">
      <c r="A21" s="41"/>
      <c r="B21" s="14">
        <v>46057</v>
      </c>
      <c r="C21" s="48">
        <v>17</v>
      </c>
      <c r="D21" s="81" t="s">
        <v>20</v>
      </c>
      <c r="E21" s="2" t="s">
        <v>20</v>
      </c>
      <c r="F21" s="19"/>
      <c r="G21" s="20">
        <v>-12</v>
      </c>
      <c r="H21" s="20"/>
      <c r="I21" s="20"/>
      <c r="J21" s="4"/>
      <c r="K21" s="2"/>
      <c r="L21" s="2"/>
    </row>
    <row r="22" spans="1:12" ht="15" customHeight="1" x14ac:dyDescent="0.3">
      <c r="A22" s="41"/>
      <c r="B22" s="14">
        <v>45694</v>
      </c>
      <c r="C22" s="48">
        <v>18</v>
      </c>
      <c r="D22" s="3" t="s">
        <v>61</v>
      </c>
      <c r="E22" s="2" t="s">
        <v>22</v>
      </c>
      <c r="F22" s="19"/>
      <c r="G22" s="20">
        <v>-46.5</v>
      </c>
      <c r="H22" s="20"/>
      <c r="I22" s="20"/>
      <c r="J22" s="4"/>
      <c r="K22" s="2"/>
      <c r="L22" s="2"/>
    </row>
    <row r="23" spans="1:12" ht="15" customHeight="1" x14ac:dyDescent="0.3">
      <c r="A23" s="41"/>
      <c r="B23" s="14">
        <v>46062</v>
      </c>
      <c r="C23" s="48">
        <v>19</v>
      </c>
      <c r="D23" s="3" t="s">
        <v>62</v>
      </c>
      <c r="E23" s="82" t="s">
        <v>21</v>
      </c>
      <c r="F23" s="19"/>
      <c r="G23" s="20">
        <v>-76.989999999999995</v>
      </c>
      <c r="H23" s="20"/>
      <c r="I23" s="20"/>
      <c r="J23" s="4"/>
      <c r="K23" s="2"/>
      <c r="L23" s="2"/>
    </row>
    <row r="24" spans="1:12" ht="15" customHeight="1" x14ac:dyDescent="0.3">
      <c r="A24" s="41"/>
      <c r="B24" s="14">
        <v>46062</v>
      </c>
      <c r="C24" s="48">
        <v>20</v>
      </c>
      <c r="D24" s="3" t="s">
        <v>63</v>
      </c>
      <c r="E24" s="3" t="s">
        <v>13</v>
      </c>
      <c r="F24" s="19"/>
      <c r="G24" s="20">
        <v>-113.05</v>
      </c>
      <c r="H24" s="20"/>
      <c r="I24" s="20"/>
      <c r="J24" s="4"/>
      <c r="K24" s="2"/>
      <c r="L24" s="2"/>
    </row>
    <row r="25" spans="1:12" ht="15" customHeight="1" x14ac:dyDescent="0.3">
      <c r="A25" s="41"/>
      <c r="B25" s="14">
        <v>46062</v>
      </c>
      <c r="C25" s="48">
        <v>21</v>
      </c>
      <c r="D25" s="3" t="s">
        <v>64</v>
      </c>
      <c r="E25" s="3" t="s">
        <v>13</v>
      </c>
      <c r="F25" s="19"/>
      <c r="G25" s="20">
        <v>-96</v>
      </c>
      <c r="H25" s="20"/>
      <c r="I25" s="20"/>
      <c r="J25" s="4"/>
      <c r="K25" s="2"/>
      <c r="L25" s="2"/>
    </row>
    <row r="26" spans="1:12" ht="15" customHeight="1" x14ac:dyDescent="0.3">
      <c r="A26" s="41"/>
      <c r="B26" s="14">
        <v>46063</v>
      </c>
      <c r="C26" s="48">
        <v>22</v>
      </c>
      <c r="D26" s="3" t="s">
        <v>68</v>
      </c>
      <c r="E26" s="2" t="s">
        <v>22</v>
      </c>
      <c r="F26" s="19"/>
      <c r="G26" s="20">
        <v>-20</v>
      </c>
      <c r="H26" s="20"/>
      <c r="I26" s="20"/>
      <c r="J26" s="4"/>
      <c r="K26" s="2"/>
      <c r="L26" s="2"/>
    </row>
    <row r="27" spans="1:12" ht="15" customHeight="1" x14ac:dyDescent="0.3">
      <c r="A27" s="41"/>
      <c r="B27" s="14">
        <v>46065</v>
      </c>
      <c r="C27" s="48">
        <v>23</v>
      </c>
      <c r="D27" s="81" t="s">
        <v>46</v>
      </c>
      <c r="E27" s="3" t="s">
        <v>0</v>
      </c>
      <c r="F27" s="19"/>
      <c r="G27" s="20">
        <v>-12.98</v>
      </c>
      <c r="H27" s="20"/>
      <c r="I27" s="20"/>
      <c r="J27" s="4"/>
      <c r="K27" s="2"/>
      <c r="L27" s="2"/>
    </row>
    <row r="28" spans="1:12" ht="15" customHeight="1" x14ac:dyDescent="0.3">
      <c r="A28" s="41"/>
      <c r="B28" s="14">
        <v>46069</v>
      </c>
      <c r="C28" s="48">
        <v>24</v>
      </c>
      <c r="D28" s="81" t="s">
        <v>56</v>
      </c>
      <c r="E28" s="3" t="s">
        <v>13</v>
      </c>
      <c r="F28" s="19"/>
      <c r="G28" s="20">
        <v>-20</v>
      </c>
      <c r="H28" s="20"/>
      <c r="I28" s="20"/>
      <c r="J28" s="4"/>
      <c r="K28" s="2"/>
      <c r="L28" s="2"/>
    </row>
    <row r="29" spans="1:12" ht="15" customHeight="1" x14ac:dyDescent="0.3">
      <c r="A29" s="41"/>
      <c r="B29" s="14">
        <v>46070</v>
      </c>
      <c r="C29" s="48">
        <v>25</v>
      </c>
      <c r="D29" s="3" t="s">
        <v>69</v>
      </c>
      <c r="E29" s="3" t="s">
        <v>13</v>
      </c>
      <c r="F29" s="19"/>
      <c r="G29" s="20"/>
      <c r="H29" s="20"/>
      <c r="I29" s="20">
        <v>-22.5</v>
      </c>
      <c r="J29" s="4"/>
      <c r="K29" s="2"/>
      <c r="L29" s="2"/>
    </row>
    <row r="30" spans="1:12" ht="15" customHeight="1" x14ac:dyDescent="0.3">
      <c r="A30" s="41"/>
      <c r="B30" s="14">
        <v>46071</v>
      </c>
      <c r="C30" s="48">
        <v>26</v>
      </c>
      <c r="D30" s="81" t="s">
        <v>46</v>
      </c>
      <c r="E30" s="3" t="s">
        <v>0</v>
      </c>
      <c r="F30" s="19"/>
      <c r="G30" s="20">
        <v>-19.34</v>
      </c>
      <c r="H30" s="20"/>
      <c r="I30" s="20"/>
      <c r="J30" s="4"/>
      <c r="K30" s="2"/>
      <c r="L30" s="2"/>
    </row>
    <row r="31" spans="1:12" ht="15" customHeight="1" x14ac:dyDescent="0.3">
      <c r="A31" s="41"/>
      <c r="B31" s="14">
        <v>46072</v>
      </c>
      <c r="C31" s="48">
        <v>27</v>
      </c>
      <c r="D31" s="81" t="s">
        <v>46</v>
      </c>
      <c r="E31" s="3" t="s">
        <v>0</v>
      </c>
      <c r="F31" s="19"/>
      <c r="G31" s="20">
        <v>-28.7</v>
      </c>
      <c r="H31" s="20"/>
      <c r="I31" s="20"/>
      <c r="J31" s="4"/>
      <c r="K31" s="2"/>
      <c r="L31" s="2"/>
    </row>
    <row r="32" spans="1:12" ht="15" customHeight="1" x14ac:dyDescent="0.3">
      <c r="A32" s="41"/>
      <c r="B32" s="14">
        <v>46072</v>
      </c>
      <c r="C32" s="48">
        <v>28</v>
      </c>
      <c r="D32" s="81" t="s">
        <v>46</v>
      </c>
      <c r="E32" s="3" t="s">
        <v>0</v>
      </c>
      <c r="F32" s="19"/>
      <c r="G32" s="20">
        <v>-16.010000000000002</v>
      </c>
      <c r="J32" s="4"/>
      <c r="K32" s="2"/>
      <c r="L32" s="2"/>
    </row>
    <row r="33" spans="1:12" ht="15" customHeight="1" x14ac:dyDescent="0.3">
      <c r="A33" s="41"/>
      <c r="B33" s="14">
        <v>46076</v>
      </c>
      <c r="C33" s="48">
        <v>29</v>
      </c>
      <c r="D33" s="81" t="s">
        <v>70</v>
      </c>
      <c r="E33" s="82" t="s">
        <v>14</v>
      </c>
      <c r="F33" s="19"/>
      <c r="G33" s="20">
        <v>-19</v>
      </c>
      <c r="H33" s="20"/>
      <c r="I33" s="20"/>
      <c r="J33" s="4"/>
      <c r="K33" s="2"/>
      <c r="L33" s="2"/>
    </row>
    <row r="34" spans="1:12" ht="15" customHeight="1" x14ac:dyDescent="0.3">
      <c r="A34" s="41"/>
      <c r="B34" s="14">
        <v>46076</v>
      </c>
      <c r="C34" s="48">
        <v>30</v>
      </c>
      <c r="D34" s="81" t="s">
        <v>71</v>
      </c>
      <c r="E34" s="3" t="s">
        <v>13</v>
      </c>
      <c r="F34" s="19"/>
      <c r="G34" s="20">
        <v>-69.86</v>
      </c>
      <c r="H34" s="20"/>
      <c r="I34" s="20"/>
      <c r="J34" s="4"/>
      <c r="K34" s="2"/>
      <c r="L34" s="2"/>
    </row>
    <row r="35" spans="1:12" ht="15" customHeight="1" x14ac:dyDescent="0.3">
      <c r="A35" s="41"/>
      <c r="B35" s="14">
        <v>46078</v>
      </c>
      <c r="C35" s="48">
        <v>31</v>
      </c>
      <c r="D35" s="81" t="s">
        <v>55</v>
      </c>
      <c r="E35" s="82" t="s">
        <v>21</v>
      </c>
      <c r="F35" s="19"/>
      <c r="G35" s="20">
        <v>-4.99</v>
      </c>
      <c r="H35" s="20"/>
      <c r="I35" s="20"/>
      <c r="J35" s="4"/>
      <c r="K35" s="2"/>
      <c r="L35" s="2"/>
    </row>
    <row r="36" spans="1:12" ht="15" customHeight="1" x14ac:dyDescent="0.3">
      <c r="A36" s="41"/>
      <c r="B36" s="14">
        <v>46084</v>
      </c>
      <c r="C36" s="48">
        <v>32</v>
      </c>
      <c r="D36" s="81" t="s">
        <v>51</v>
      </c>
      <c r="E36" s="82" t="s">
        <v>21</v>
      </c>
      <c r="F36" s="19"/>
      <c r="G36" s="20">
        <v>-38.520000000000003</v>
      </c>
      <c r="H36" s="20"/>
      <c r="I36" s="20"/>
      <c r="J36" s="4"/>
      <c r="K36" s="2"/>
      <c r="L36" s="2"/>
    </row>
    <row r="37" spans="1:12" ht="15" customHeight="1" x14ac:dyDescent="0.3">
      <c r="A37" s="41"/>
      <c r="B37" s="14">
        <v>46084</v>
      </c>
      <c r="C37" s="48">
        <v>33</v>
      </c>
      <c r="D37" s="81" t="s">
        <v>51</v>
      </c>
      <c r="E37" s="82" t="s">
        <v>21</v>
      </c>
      <c r="F37" s="19"/>
      <c r="G37" s="20">
        <v>-32.450000000000003</v>
      </c>
      <c r="H37" s="20"/>
      <c r="I37" s="20"/>
      <c r="J37" s="4"/>
      <c r="K37" s="2"/>
      <c r="L37" s="2"/>
    </row>
    <row r="38" spans="1:12" ht="15" customHeight="1" x14ac:dyDescent="0.3">
      <c r="A38" s="41"/>
      <c r="B38" s="14">
        <v>46085</v>
      </c>
      <c r="C38" s="48">
        <v>34</v>
      </c>
      <c r="D38" s="81" t="s">
        <v>20</v>
      </c>
      <c r="E38" s="2" t="s">
        <v>20</v>
      </c>
      <c r="F38" s="19"/>
      <c r="G38" s="20">
        <v>-12</v>
      </c>
      <c r="H38" s="20"/>
      <c r="I38" s="20"/>
      <c r="J38" s="4"/>
      <c r="K38" s="2"/>
      <c r="L38" s="2"/>
    </row>
    <row r="39" spans="1:12" ht="15" customHeight="1" x14ac:dyDescent="0.3">
      <c r="A39" s="41"/>
      <c r="B39" s="14">
        <v>46085</v>
      </c>
      <c r="C39" s="48">
        <v>35</v>
      </c>
      <c r="D39" s="3" t="s">
        <v>46</v>
      </c>
      <c r="E39" s="3" t="s">
        <v>0</v>
      </c>
      <c r="F39" s="19"/>
      <c r="G39" s="20">
        <v>-12.16</v>
      </c>
      <c r="H39" s="20"/>
      <c r="I39" s="20"/>
      <c r="J39" s="4"/>
      <c r="K39" s="2"/>
      <c r="L39" s="2"/>
    </row>
    <row r="40" spans="1:12" ht="15" customHeight="1" x14ac:dyDescent="0.3">
      <c r="A40" s="41"/>
      <c r="B40" s="14">
        <v>46090</v>
      </c>
      <c r="C40" s="48">
        <v>36</v>
      </c>
      <c r="D40" s="3" t="s">
        <v>72</v>
      </c>
      <c r="E40" s="3" t="s">
        <v>13</v>
      </c>
      <c r="F40" s="19"/>
      <c r="G40" s="20">
        <v>-66.5</v>
      </c>
      <c r="H40" s="20"/>
      <c r="I40" s="20"/>
      <c r="J40" s="4"/>
      <c r="K40" s="2"/>
      <c r="L40" s="2"/>
    </row>
    <row r="41" spans="1:12" ht="15" customHeight="1" x14ac:dyDescent="0.3">
      <c r="A41" s="41"/>
      <c r="B41" s="14">
        <v>46104</v>
      </c>
      <c r="C41" s="48">
        <v>37</v>
      </c>
      <c r="D41" s="3" t="s">
        <v>82</v>
      </c>
      <c r="E41" s="3" t="s">
        <v>13</v>
      </c>
      <c r="F41" s="19"/>
      <c r="G41" s="20">
        <v>-105</v>
      </c>
      <c r="H41" s="20"/>
      <c r="I41" s="20"/>
      <c r="J41" s="4"/>
      <c r="K41" s="2"/>
      <c r="L41" s="2"/>
    </row>
    <row r="42" spans="1:12" ht="15" customHeight="1" x14ac:dyDescent="0.3">
      <c r="A42" s="41"/>
      <c r="B42" s="14">
        <v>46106</v>
      </c>
      <c r="C42" s="48">
        <v>38</v>
      </c>
      <c r="D42" s="81" t="s">
        <v>55</v>
      </c>
      <c r="E42" s="82" t="s">
        <v>21</v>
      </c>
      <c r="F42" s="19"/>
      <c r="G42" s="20">
        <v>-4.99</v>
      </c>
      <c r="H42" s="20"/>
      <c r="I42" s="20"/>
      <c r="J42" s="4"/>
      <c r="K42" s="2"/>
      <c r="L42" s="2"/>
    </row>
    <row r="43" spans="1:12" ht="15" customHeight="1" x14ac:dyDescent="0.3">
      <c r="A43" s="41"/>
      <c r="B43" s="14">
        <v>46106</v>
      </c>
      <c r="C43" s="48">
        <v>39</v>
      </c>
      <c r="D43" s="3" t="s">
        <v>83</v>
      </c>
      <c r="E43" s="3" t="s">
        <v>13</v>
      </c>
      <c r="F43" s="19"/>
      <c r="G43" s="20">
        <v>-15</v>
      </c>
      <c r="H43" s="20"/>
      <c r="I43" s="20"/>
      <c r="J43" s="4"/>
      <c r="K43" s="2"/>
      <c r="L43" s="2"/>
    </row>
    <row r="44" spans="1:12" ht="15" customHeight="1" x14ac:dyDescent="0.3">
      <c r="A44" s="41"/>
      <c r="B44" s="14">
        <v>46106</v>
      </c>
      <c r="C44" s="48">
        <v>40</v>
      </c>
      <c r="D44" s="3" t="s">
        <v>84</v>
      </c>
      <c r="E44" s="3" t="s">
        <v>0</v>
      </c>
      <c r="F44" s="19"/>
      <c r="G44" s="20">
        <v>-56.83</v>
      </c>
      <c r="H44" s="20"/>
      <c r="I44" s="20"/>
      <c r="J44" s="4"/>
      <c r="K44" s="2"/>
      <c r="L44" s="2"/>
    </row>
    <row r="45" spans="1:12" ht="15" customHeight="1" x14ac:dyDescent="0.3">
      <c r="A45" s="41"/>
      <c r="B45" s="14">
        <v>46108</v>
      </c>
      <c r="C45" s="48">
        <v>41</v>
      </c>
      <c r="D45" s="3" t="s">
        <v>88</v>
      </c>
      <c r="E45" s="3" t="s">
        <v>13</v>
      </c>
      <c r="F45" s="19"/>
      <c r="G45" s="20">
        <v>-153</v>
      </c>
      <c r="H45" s="20"/>
      <c r="I45" s="20"/>
      <c r="J45" s="4"/>
      <c r="K45" s="2"/>
      <c r="L45" s="2"/>
    </row>
    <row r="46" spans="1:12" ht="15" customHeight="1" x14ac:dyDescent="0.3">
      <c r="A46" s="41"/>
      <c r="B46" s="14">
        <v>46108</v>
      </c>
      <c r="C46" s="48">
        <v>42</v>
      </c>
      <c r="D46" s="83" t="s">
        <v>89</v>
      </c>
      <c r="E46" s="3" t="s">
        <v>13</v>
      </c>
      <c r="F46" s="19"/>
      <c r="G46" s="20"/>
      <c r="H46" s="20"/>
      <c r="I46" s="20">
        <v>0</v>
      </c>
      <c r="J46" s="4"/>
      <c r="K46" s="2"/>
      <c r="L46" s="2"/>
    </row>
    <row r="47" spans="1:12" ht="15" customHeight="1" x14ac:dyDescent="0.3">
      <c r="A47" s="41"/>
      <c r="B47" s="14">
        <v>46111</v>
      </c>
      <c r="C47" s="48">
        <v>43</v>
      </c>
      <c r="D47" s="3" t="s">
        <v>90</v>
      </c>
      <c r="E47" s="3" t="s">
        <v>0</v>
      </c>
      <c r="F47" s="19"/>
      <c r="G47" s="20">
        <v>-9.77</v>
      </c>
      <c r="H47" s="20"/>
      <c r="I47" s="20"/>
      <c r="J47" s="4"/>
      <c r="K47" s="2"/>
      <c r="L47" s="2"/>
    </row>
    <row r="48" spans="1:12" ht="15" customHeight="1" x14ac:dyDescent="0.3">
      <c r="A48" s="41"/>
      <c r="B48" s="14">
        <v>46111</v>
      </c>
      <c r="C48" s="48">
        <v>44</v>
      </c>
      <c r="D48" s="81" t="s">
        <v>91</v>
      </c>
      <c r="E48" s="3" t="s">
        <v>0</v>
      </c>
      <c r="F48" s="19"/>
      <c r="G48" s="20">
        <v>-108</v>
      </c>
      <c r="H48" s="20"/>
      <c r="I48" s="20"/>
      <c r="J48" s="4"/>
      <c r="K48" s="2"/>
      <c r="L48" s="2"/>
    </row>
    <row r="49" spans="1:12" ht="15" customHeight="1" x14ac:dyDescent="0.3">
      <c r="A49" s="41"/>
      <c r="B49" s="14">
        <v>46111</v>
      </c>
      <c r="C49" s="48">
        <v>45</v>
      </c>
      <c r="D49" s="81" t="s">
        <v>92</v>
      </c>
      <c r="E49" s="3" t="s">
        <v>0</v>
      </c>
      <c r="F49" s="19"/>
      <c r="G49" s="20">
        <v>-48.94</v>
      </c>
      <c r="H49" s="20"/>
      <c r="I49" s="20"/>
      <c r="J49" s="4"/>
      <c r="K49" s="2"/>
      <c r="L49" s="2"/>
    </row>
    <row r="50" spans="1:12" ht="15" customHeight="1" x14ac:dyDescent="0.3">
      <c r="A50" s="41"/>
      <c r="B50" s="14">
        <v>46111</v>
      </c>
      <c r="C50" s="48">
        <v>46</v>
      </c>
      <c r="D50" s="81" t="s">
        <v>93</v>
      </c>
      <c r="E50" s="3" t="s">
        <v>0</v>
      </c>
      <c r="F50" s="19"/>
      <c r="G50" s="20">
        <v>-78.349999999999994</v>
      </c>
      <c r="H50" s="20"/>
      <c r="I50" s="20"/>
      <c r="J50" s="4"/>
      <c r="K50" s="2"/>
      <c r="L50" s="2"/>
    </row>
    <row r="51" spans="1:12" ht="15" customHeight="1" x14ac:dyDescent="0.3">
      <c r="A51" s="41"/>
      <c r="B51" s="14">
        <v>46111</v>
      </c>
      <c r="C51" s="48">
        <v>47</v>
      </c>
      <c r="D51" s="81" t="s">
        <v>94</v>
      </c>
      <c r="E51" s="3" t="s">
        <v>0</v>
      </c>
      <c r="F51" s="19"/>
      <c r="G51" s="20">
        <v>-70.680000000000007</v>
      </c>
      <c r="H51" s="20"/>
      <c r="I51" s="20"/>
      <c r="J51" s="4"/>
      <c r="K51" s="2"/>
      <c r="L51" s="2"/>
    </row>
    <row r="52" spans="1:12" ht="15" customHeight="1" x14ac:dyDescent="0.3">
      <c r="A52" s="41"/>
      <c r="B52" s="14">
        <v>46111</v>
      </c>
      <c r="C52" s="48">
        <v>48</v>
      </c>
      <c r="D52" s="81" t="s">
        <v>95</v>
      </c>
      <c r="E52" s="3" t="s">
        <v>0</v>
      </c>
      <c r="F52" s="19"/>
      <c r="G52" s="20">
        <v>-246.8</v>
      </c>
      <c r="H52" s="20"/>
      <c r="I52" s="20"/>
      <c r="J52" s="4"/>
      <c r="K52" s="2"/>
      <c r="L52" s="2"/>
    </row>
    <row r="53" spans="1:12" ht="15" customHeight="1" x14ac:dyDescent="0.3">
      <c r="A53" s="41"/>
      <c r="B53" s="14">
        <v>46111</v>
      </c>
      <c r="C53" s="48">
        <v>49</v>
      </c>
      <c r="D53" s="3" t="s">
        <v>46</v>
      </c>
      <c r="E53" s="3" t="s">
        <v>0</v>
      </c>
      <c r="F53" s="19"/>
      <c r="G53" s="20">
        <v>-9.64</v>
      </c>
      <c r="H53" s="20"/>
      <c r="I53" s="20"/>
      <c r="J53" s="4"/>
      <c r="K53" s="2"/>
      <c r="L53" s="2"/>
    </row>
    <row r="54" spans="1:12" ht="15" customHeight="1" x14ac:dyDescent="0.3">
      <c r="A54" s="41"/>
      <c r="B54" s="14">
        <v>46111</v>
      </c>
      <c r="C54" s="48">
        <v>50</v>
      </c>
      <c r="D54" s="37" t="s">
        <v>96</v>
      </c>
      <c r="E54" s="3" t="s">
        <v>13</v>
      </c>
      <c r="F54" s="19"/>
      <c r="G54" s="20">
        <v>-25</v>
      </c>
      <c r="H54" s="20"/>
      <c r="I54" s="20"/>
      <c r="J54" s="4"/>
      <c r="K54" s="2"/>
      <c r="L54" s="2"/>
    </row>
    <row r="55" spans="1:12" ht="15" customHeight="1" x14ac:dyDescent="0.3">
      <c r="A55" s="41"/>
      <c r="B55" s="14">
        <v>46112</v>
      </c>
      <c r="C55" s="48">
        <v>51</v>
      </c>
      <c r="D55" s="3" t="s">
        <v>79</v>
      </c>
      <c r="E55" s="3" t="s">
        <v>13</v>
      </c>
      <c r="F55" s="19"/>
      <c r="G55" s="20"/>
      <c r="H55" s="20"/>
      <c r="I55" s="20">
        <v>-2.5</v>
      </c>
      <c r="J55" s="4"/>
      <c r="K55" s="2"/>
      <c r="L55" s="2"/>
    </row>
    <row r="56" spans="1:12" ht="15" customHeight="1" x14ac:dyDescent="0.3">
      <c r="A56" s="41"/>
      <c r="B56" s="14">
        <v>46113</v>
      </c>
      <c r="C56" s="48">
        <v>52</v>
      </c>
      <c r="D56" s="81" t="s">
        <v>20</v>
      </c>
      <c r="E56" s="2" t="s">
        <v>20</v>
      </c>
      <c r="F56" s="19"/>
      <c r="G56" s="20">
        <v>-12</v>
      </c>
      <c r="H56" s="20"/>
      <c r="I56" s="20"/>
      <c r="J56" s="4"/>
      <c r="K56" s="2"/>
      <c r="L56" s="2"/>
    </row>
    <row r="57" spans="1:12" ht="15" customHeight="1" x14ac:dyDescent="0.3">
      <c r="A57" s="41"/>
      <c r="B57" s="14">
        <v>46113</v>
      </c>
      <c r="C57" s="48">
        <v>53</v>
      </c>
      <c r="D57" s="3" t="s">
        <v>97</v>
      </c>
      <c r="E57" s="3" t="s">
        <v>0</v>
      </c>
      <c r="F57" s="19"/>
      <c r="G57" s="20">
        <v>-22</v>
      </c>
      <c r="H57" s="20"/>
      <c r="I57" s="20"/>
      <c r="J57" s="4"/>
      <c r="K57" s="2"/>
      <c r="L57" s="2"/>
    </row>
    <row r="58" spans="1:12" ht="15" customHeight="1" x14ac:dyDescent="0.3">
      <c r="A58" s="41"/>
      <c r="B58" s="14">
        <v>46114</v>
      </c>
      <c r="C58" s="48">
        <v>54</v>
      </c>
      <c r="D58" s="81" t="s">
        <v>51</v>
      </c>
      <c r="E58" s="82" t="s">
        <v>21</v>
      </c>
      <c r="F58" s="19"/>
      <c r="G58" s="20">
        <v>-47</v>
      </c>
      <c r="H58" s="20"/>
      <c r="I58" s="20"/>
      <c r="J58" s="4"/>
      <c r="K58" s="2"/>
      <c r="L58" s="2"/>
    </row>
    <row r="59" spans="1:12" ht="15" customHeight="1" x14ac:dyDescent="0.3">
      <c r="A59" s="41"/>
      <c r="B59" s="14">
        <v>46114</v>
      </c>
      <c r="C59" s="48">
        <v>55</v>
      </c>
      <c r="D59" s="81" t="s">
        <v>51</v>
      </c>
      <c r="E59" s="82" t="s">
        <v>21</v>
      </c>
      <c r="F59" s="19"/>
      <c r="G59" s="20">
        <v>-89</v>
      </c>
      <c r="H59" s="20"/>
      <c r="I59" s="20"/>
      <c r="J59" s="4"/>
      <c r="K59" s="2"/>
      <c r="L59" s="2"/>
    </row>
    <row r="60" spans="1:12" ht="15" customHeight="1" x14ac:dyDescent="0.3">
      <c r="A60" s="41"/>
      <c r="B60" s="14">
        <v>46119</v>
      </c>
      <c r="C60" s="48">
        <v>56</v>
      </c>
      <c r="D60" s="3" t="s">
        <v>98</v>
      </c>
      <c r="E60" s="3" t="s">
        <v>0</v>
      </c>
      <c r="F60" s="19"/>
      <c r="G60" s="20">
        <v>-11.47</v>
      </c>
      <c r="H60" s="20"/>
      <c r="I60" s="20"/>
      <c r="J60" s="4"/>
      <c r="K60" s="2"/>
      <c r="L60" s="2"/>
    </row>
    <row r="61" spans="1:12" ht="15" customHeight="1" x14ac:dyDescent="0.3">
      <c r="A61" s="41"/>
      <c r="B61" s="14">
        <v>46127</v>
      </c>
      <c r="C61" s="48">
        <v>57</v>
      </c>
      <c r="D61" s="3" t="s">
        <v>52</v>
      </c>
      <c r="E61" s="82" t="s">
        <v>21</v>
      </c>
      <c r="F61" s="19"/>
      <c r="G61" s="20">
        <v>-18.36</v>
      </c>
      <c r="H61" s="20"/>
      <c r="I61" s="20"/>
      <c r="J61" s="4"/>
      <c r="K61" s="2"/>
      <c r="L61" s="2"/>
    </row>
    <row r="62" spans="1:12" ht="15" customHeight="1" x14ac:dyDescent="0.3">
      <c r="A62" s="41"/>
      <c r="B62" s="14">
        <v>46132</v>
      </c>
      <c r="C62" s="48">
        <v>58</v>
      </c>
      <c r="D62" s="3" t="s">
        <v>46</v>
      </c>
      <c r="E62" s="3" t="s">
        <v>0</v>
      </c>
      <c r="F62" s="19"/>
      <c r="G62" s="20">
        <v>-19.45</v>
      </c>
      <c r="H62" s="20"/>
      <c r="I62" s="20"/>
      <c r="J62" s="4"/>
      <c r="K62" s="2"/>
      <c r="L62" s="2"/>
    </row>
    <row r="63" spans="1:12" ht="15" customHeight="1" x14ac:dyDescent="0.3">
      <c r="A63" s="41"/>
      <c r="B63" s="14">
        <v>46139</v>
      </c>
      <c r="C63" s="48">
        <v>59</v>
      </c>
      <c r="D63" s="3" t="s">
        <v>106</v>
      </c>
      <c r="E63" s="3" t="s">
        <v>0</v>
      </c>
      <c r="F63" s="19"/>
      <c r="G63" s="20">
        <v>-19.600000000000001</v>
      </c>
      <c r="H63" s="20"/>
      <c r="I63" s="20"/>
      <c r="J63" s="4"/>
      <c r="K63" s="2"/>
      <c r="L63" s="2"/>
    </row>
    <row r="64" spans="1:12" ht="15" customHeight="1" x14ac:dyDescent="0.3">
      <c r="A64" s="41"/>
      <c r="B64" s="14">
        <v>46139</v>
      </c>
      <c r="C64" s="48">
        <v>60</v>
      </c>
      <c r="D64" s="81" t="s">
        <v>55</v>
      </c>
      <c r="E64" s="82" t="s">
        <v>21</v>
      </c>
      <c r="F64" s="19"/>
      <c r="G64" s="20">
        <v>-4.99</v>
      </c>
      <c r="H64" s="20"/>
      <c r="I64" s="20"/>
      <c r="J64" s="4"/>
      <c r="K64" s="2"/>
      <c r="L64" s="2"/>
    </row>
    <row r="65" spans="1:12" ht="15" customHeight="1" x14ac:dyDescent="0.3">
      <c r="A65" s="41"/>
      <c r="B65" s="14">
        <v>46142</v>
      </c>
      <c r="C65" s="48">
        <v>61</v>
      </c>
      <c r="D65" s="3" t="s">
        <v>103</v>
      </c>
      <c r="E65" s="3" t="s">
        <v>13</v>
      </c>
      <c r="F65" s="19"/>
      <c r="G65" s="20"/>
      <c r="H65" s="20"/>
      <c r="I65" s="20">
        <v>-7.5</v>
      </c>
      <c r="J65" s="4"/>
      <c r="K65" s="2"/>
      <c r="L65" s="2"/>
    </row>
    <row r="66" spans="1:12" ht="15" customHeight="1" x14ac:dyDescent="0.3">
      <c r="A66" s="41"/>
      <c r="B66" s="14">
        <v>46147</v>
      </c>
      <c r="C66" s="48">
        <v>62</v>
      </c>
      <c r="D66" s="3" t="s">
        <v>51</v>
      </c>
      <c r="E66" s="82" t="s">
        <v>21</v>
      </c>
      <c r="F66" s="19"/>
      <c r="G66" s="20">
        <v>-47</v>
      </c>
      <c r="H66" s="20"/>
      <c r="I66" s="20"/>
      <c r="J66" s="4"/>
      <c r="K66" s="2"/>
      <c r="L66" s="2"/>
    </row>
    <row r="67" spans="1:12" ht="15" customHeight="1" x14ac:dyDescent="0.3">
      <c r="A67" s="41"/>
      <c r="B67" s="14">
        <v>46147</v>
      </c>
      <c r="C67" s="48">
        <v>63</v>
      </c>
      <c r="D67" s="3" t="s">
        <v>51</v>
      </c>
      <c r="E67" s="82" t="s">
        <v>21</v>
      </c>
      <c r="F67" s="19"/>
      <c r="G67" s="20">
        <v>-89</v>
      </c>
      <c r="H67" s="20"/>
      <c r="I67" s="20"/>
      <c r="J67" s="4"/>
      <c r="K67" s="2"/>
      <c r="L67" s="2"/>
    </row>
    <row r="68" spans="1:12" ht="15" customHeight="1" x14ac:dyDescent="0.3">
      <c r="A68" s="41"/>
      <c r="B68" s="14">
        <v>46147</v>
      </c>
      <c r="C68" s="48">
        <v>64</v>
      </c>
      <c r="D68" s="3" t="s">
        <v>20</v>
      </c>
      <c r="E68" s="82" t="s">
        <v>21</v>
      </c>
      <c r="F68" s="16"/>
      <c r="G68" s="20">
        <v>-12</v>
      </c>
      <c r="H68" s="20"/>
      <c r="I68" s="20"/>
      <c r="J68" s="4"/>
      <c r="K68" s="2"/>
      <c r="L68" s="2"/>
    </row>
    <row r="69" spans="1:12" ht="15" customHeight="1" x14ac:dyDescent="0.3">
      <c r="A69" s="41"/>
      <c r="B69" s="14">
        <v>46148</v>
      </c>
      <c r="C69" s="48">
        <v>65</v>
      </c>
      <c r="D69" s="3" t="s">
        <v>109</v>
      </c>
      <c r="E69" s="2" t="s">
        <v>14</v>
      </c>
      <c r="F69" s="16"/>
      <c r="G69" s="20">
        <v>-83.39</v>
      </c>
      <c r="H69" s="20"/>
      <c r="I69" s="20"/>
      <c r="J69" s="4"/>
      <c r="K69" s="2"/>
      <c r="L69" s="2"/>
    </row>
    <row r="70" spans="1:12" ht="15" customHeight="1" x14ac:dyDescent="0.3">
      <c r="A70" s="41"/>
      <c r="B70" s="14">
        <v>46148</v>
      </c>
      <c r="C70" s="48">
        <v>66</v>
      </c>
      <c r="D70" s="3" t="s">
        <v>109</v>
      </c>
      <c r="E70" s="3" t="s">
        <v>0</v>
      </c>
      <c r="F70" s="19"/>
      <c r="G70" s="19">
        <v>-5.99</v>
      </c>
      <c r="H70" s="20"/>
      <c r="I70" s="20"/>
      <c r="J70" s="4"/>
      <c r="K70" s="2"/>
      <c r="L70" s="2"/>
    </row>
    <row r="71" spans="1:12" ht="15" customHeight="1" x14ac:dyDescent="0.3">
      <c r="A71" s="41"/>
      <c r="B71" s="14">
        <v>46150</v>
      </c>
      <c r="C71" s="48">
        <v>67</v>
      </c>
      <c r="D71" s="81" t="s">
        <v>46</v>
      </c>
      <c r="E71" s="3" t="s">
        <v>0</v>
      </c>
      <c r="F71" s="19"/>
      <c r="G71" s="20">
        <v>-7.64</v>
      </c>
      <c r="H71" s="20"/>
      <c r="I71" s="20"/>
      <c r="J71" s="4"/>
      <c r="K71" s="2"/>
      <c r="L71" s="2"/>
    </row>
    <row r="72" spans="1:12" ht="15" customHeight="1" x14ac:dyDescent="0.3">
      <c r="A72" s="41"/>
      <c r="B72" s="14">
        <v>46157</v>
      </c>
      <c r="C72" s="48">
        <v>68</v>
      </c>
      <c r="D72" s="81" t="s">
        <v>110</v>
      </c>
      <c r="E72" s="82" t="s">
        <v>21</v>
      </c>
      <c r="F72" s="19"/>
      <c r="G72" s="20">
        <v>-17.21</v>
      </c>
      <c r="H72" s="20"/>
      <c r="I72" s="20"/>
      <c r="J72" s="4"/>
      <c r="K72" s="2"/>
      <c r="L72" s="2"/>
    </row>
    <row r="73" spans="1:12" ht="15" customHeight="1" x14ac:dyDescent="0.3">
      <c r="A73" s="41"/>
      <c r="B73" s="14">
        <v>46160</v>
      </c>
      <c r="C73" s="48">
        <v>69</v>
      </c>
      <c r="D73" s="81" t="s">
        <v>83</v>
      </c>
      <c r="E73" s="3" t="s">
        <v>13</v>
      </c>
      <c r="F73" s="19"/>
      <c r="G73" s="20">
        <v>-160.59</v>
      </c>
      <c r="H73" s="19"/>
      <c r="I73" s="20"/>
      <c r="J73" s="4"/>
      <c r="K73" s="2"/>
      <c r="L73" s="2"/>
    </row>
    <row r="74" spans="1:12" ht="15" customHeight="1" x14ac:dyDescent="0.3">
      <c r="A74" s="41"/>
      <c r="B74" s="14">
        <v>46161</v>
      </c>
      <c r="C74" s="48">
        <v>70</v>
      </c>
      <c r="D74" s="3" t="s">
        <v>46</v>
      </c>
      <c r="E74" s="3" t="s">
        <v>0</v>
      </c>
      <c r="F74" s="19"/>
      <c r="G74" s="20">
        <v>-3.4</v>
      </c>
      <c r="H74" s="20"/>
      <c r="I74" s="20"/>
      <c r="J74" s="4"/>
      <c r="K74" s="2"/>
      <c r="L74" s="2"/>
    </row>
    <row r="75" spans="1:12" ht="15" customHeight="1" x14ac:dyDescent="0.3">
      <c r="A75" s="41"/>
      <c r="B75" s="14">
        <v>46161</v>
      </c>
      <c r="C75" s="48">
        <v>71</v>
      </c>
      <c r="D75" s="3" t="s">
        <v>69</v>
      </c>
      <c r="E75" s="3" t="s">
        <v>13</v>
      </c>
      <c r="F75" s="19"/>
      <c r="G75" s="20"/>
      <c r="H75" s="20"/>
      <c r="I75" s="20">
        <v>-10.5</v>
      </c>
      <c r="J75" s="4"/>
      <c r="K75" s="2"/>
      <c r="L75" s="2"/>
    </row>
    <row r="76" spans="1:12" ht="15" customHeight="1" x14ac:dyDescent="0.3">
      <c r="A76" s="41"/>
      <c r="B76" s="14">
        <v>46168</v>
      </c>
      <c r="C76" s="48">
        <v>72</v>
      </c>
      <c r="D76" s="81" t="s">
        <v>55</v>
      </c>
      <c r="E76" s="82" t="s">
        <v>21</v>
      </c>
      <c r="F76" s="19"/>
      <c r="G76" s="20">
        <v>-4.99</v>
      </c>
      <c r="H76" s="20"/>
      <c r="I76" s="20"/>
      <c r="J76" s="4"/>
      <c r="K76" s="2"/>
      <c r="L76" s="2"/>
    </row>
    <row r="77" spans="1:12" ht="15" customHeight="1" x14ac:dyDescent="0.3">
      <c r="A77" s="41"/>
      <c r="B77" s="14">
        <v>46174</v>
      </c>
      <c r="C77" s="48">
        <v>73</v>
      </c>
      <c r="D77" s="3" t="s">
        <v>20</v>
      </c>
      <c r="E77" s="82" t="s">
        <v>21</v>
      </c>
      <c r="F77" s="16"/>
      <c r="G77" s="20">
        <v>-12</v>
      </c>
      <c r="H77" s="20"/>
      <c r="I77" s="20"/>
      <c r="J77" s="4"/>
      <c r="K77" s="2"/>
      <c r="L77" s="2"/>
    </row>
    <row r="78" spans="1:12" ht="15" customHeight="1" x14ac:dyDescent="0.3">
      <c r="A78" s="41"/>
      <c r="B78" s="14">
        <v>46175</v>
      </c>
      <c r="C78" s="48">
        <v>74</v>
      </c>
      <c r="D78" s="3" t="s">
        <v>51</v>
      </c>
      <c r="E78" s="82" t="s">
        <v>21</v>
      </c>
      <c r="F78" s="19"/>
      <c r="G78" s="20">
        <v>-47</v>
      </c>
      <c r="H78" s="20"/>
      <c r="I78" s="20"/>
      <c r="J78" s="4"/>
      <c r="K78" s="2"/>
      <c r="L78" s="2"/>
    </row>
    <row r="79" spans="1:12" ht="15" customHeight="1" x14ac:dyDescent="0.3">
      <c r="A79" s="41"/>
      <c r="B79" s="14">
        <v>46175</v>
      </c>
      <c r="C79" s="48">
        <v>75</v>
      </c>
      <c r="D79" s="3" t="s">
        <v>51</v>
      </c>
      <c r="E79" s="82" t="s">
        <v>21</v>
      </c>
      <c r="F79" s="19"/>
      <c r="G79" s="20">
        <v>-89</v>
      </c>
      <c r="H79" s="20"/>
      <c r="I79" s="20"/>
      <c r="J79" s="4"/>
      <c r="K79" s="2"/>
      <c r="L79" s="2"/>
    </row>
    <row r="80" spans="1:12" ht="15" customHeight="1" x14ac:dyDescent="0.3">
      <c r="A80" s="41"/>
      <c r="B80" s="14">
        <v>46184</v>
      </c>
      <c r="C80" s="48">
        <v>76</v>
      </c>
      <c r="D80" s="3" t="s">
        <v>121</v>
      </c>
      <c r="E80" s="82" t="s">
        <v>12</v>
      </c>
      <c r="F80" s="19"/>
      <c r="G80" s="20">
        <v>-300</v>
      </c>
      <c r="H80" s="20"/>
      <c r="I80" s="20"/>
      <c r="J80" s="4"/>
      <c r="K80" s="2"/>
      <c r="L80" s="2"/>
    </row>
    <row r="81" spans="1:12" ht="15" customHeight="1" x14ac:dyDescent="0.3">
      <c r="A81" s="41"/>
      <c r="B81" s="14">
        <v>46184</v>
      </c>
      <c r="C81" s="48">
        <v>77</v>
      </c>
      <c r="D81" s="3" t="s">
        <v>122</v>
      </c>
      <c r="E81" s="82" t="s">
        <v>12</v>
      </c>
      <c r="F81" s="19"/>
      <c r="G81" s="20">
        <v>-120</v>
      </c>
      <c r="H81" s="20"/>
      <c r="I81" s="20"/>
      <c r="J81" s="4"/>
      <c r="K81" s="2"/>
      <c r="L81" s="2"/>
    </row>
    <row r="82" spans="1:12" ht="15" customHeight="1" x14ac:dyDescent="0.3">
      <c r="A82" s="41"/>
      <c r="B82" s="14">
        <v>46184</v>
      </c>
      <c r="C82" s="48">
        <v>78</v>
      </c>
      <c r="D82" s="3" t="s">
        <v>46</v>
      </c>
      <c r="E82" s="3" t="s">
        <v>0</v>
      </c>
      <c r="F82" s="19"/>
      <c r="G82" s="20">
        <v>-9.3699999999999992</v>
      </c>
      <c r="H82" s="20"/>
      <c r="I82" s="20"/>
      <c r="J82" s="4"/>
      <c r="K82" s="2"/>
      <c r="L82" s="2"/>
    </row>
    <row r="83" spans="1:12" ht="15" customHeight="1" x14ac:dyDescent="0.3">
      <c r="A83" s="41"/>
      <c r="B83" s="14">
        <v>46188</v>
      </c>
      <c r="C83" s="48">
        <v>79</v>
      </c>
      <c r="D83" s="3" t="s">
        <v>46</v>
      </c>
      <c r="E83" s="3" t="s">
        <v>0</v>
      </c>
      <c r="F83" s="19"/>
      <c r="G83" s="20">
        <v>-12.95</v>
      </c>
      <c r="H83" s="20"/>
      <c r="I83" s="20"/>
      <c r="J83" s="4"/>
      <c r="K83" s="2"/>
      <c r="L83" s="2"/>
    </row>
    <row r="84" spans="1:12" ht="15" customHeight="1" x14ac:dyDescent="0.3">
      <c r="A84" s="41"/>
      <c r="B84" s="14">
        <v>46197</v>
      </c>
      <c r="C84" s="48">
        <v>80</v>
      </c>
      <c r="D84" s="3" t="s">
        <v>46</v>
      </c>
      <c r="E84" s="3" t="s">
        <v>0</v>
      </c>
      <c r="F84" s="19"/>
      <c r="G84" s="20">
        <v>-20.99</v>
      </c>
      <c r="H84" s="20"/>
      <c r="I84" s="20"/>
      <c r="J84" s="4"/>
      <c r="K84" s="2"/>
      <c r="L84" s="2"/>
    </row>
    <row r="85" spans="1:12" ht="15" customHeight="1" x14ac:dyDescent="0.3">
      <c r="A85" s="41"/>
      <c r="B85" s="14">
        <v>46198</v>
      </c>
      <c r="C85" s="48" t="s">
        <v>124</v>
      </c>
      <c r="D85" s="81" t="s">
        <v>55</v>
      </c>
      <c r="E85" s="82" t="s">
        <v>21</v>
      </c>
      <c r="F85" s="19"/>
      <c r="G85" s="20">
        <v>-4.99</v>
      </c>
      <c r="H85" s="20"/>
      <c r="I85" s="20"/>
      <c r="J85" s="4"/>
      <c r="K85" s="2"/>
      <c r="L85" s="2"/>
    </row>
    <row r="86" spans="1:12" ht="15" customHeight="1" x14ac:dyDescent="0.3">
      <c r="A86" s="41"/>
      <c r="B86" s="14">
        <v>46199</v>
      </c>
      <c r="C86" s="48">
        <v>81</v>
      </c>
      <c r="D86" s="3" t="s">
        <v>123</v>
      </c>
      <c r="E86" s="3" t="s">
        <v>0</v>
      </c>
      <c r="F86" s="19"/>
      <c r="G86" s="20">
        <v>-22.94</v>
      </c>
      <c r="H86" s="20"/>
      <c r="I86" s="20"/>
      <c r="J86" s="4"/>
      <c r="K86" s="2"/>
      <c r="L86" s="2"/>
    </row>
    <row r="87" spans="1:12" ht="15" customHeight="1" x14ac:dyDescent="0.3">
      <c r="A87" s="41"/>
      <c r="B87" s="14">
        <v>46204</v>
      </c>
      <c r="C87" s="48">
        <v>82</v>
      </c>
      <c r="D87" s="3" t="s">
        <v>20</v>
      </c>
      <c r="E87" s="82" t="s">
        <v>21</v>
      </c>
      <c r="F87" s="16"/>
      <c r="G87" s="20">
        <v>-12</v>
      </c>
      <c r="H87" s="20"/>
      <c r="I87" s="20"/>
      <c r="J87" s="4"/>
      <c r="K87" s="2"/>
      <c r="L87" s="2"/>
    </row>
    <row r="88" spans="1:12" ht="15" customHeight="1" x14ac:dyDescent="0.3">
      <c r="A88" s="41"/>
      <c r="B88" s="14">
        <v>46205</v>
      </c>
      <c r="C88" s="48">
        <v>83</v>
      </c>
      <c r="D88" s="3" t="s">
        <v>51</v>
      </c>
      <c r="E88" s="82" t="s">
        <v>21</v>
      </c>
      <c r="F88" s="19"/>
      <c r="G88" s="20">
        <v>-47</v>
      </c>
      <c r="H88" s="20"/>
      <c r="I88" s="20"/>
      <c r="J88" s="4"/>
      <c r="K88" s="2"/>
      <c r="L88" s="2"/>
    </row>
    <row r="89" spans="1:12" ht="15" customHeight="1" x14ac:dyDescent="0.3">
      <c r="A89" s="41"/>
      <c r="B89" s="14">
        <v>46205</v>
      </c>
      <c r="C89" s="48">
        <v>84</v>
      </c>
      <c r="D89" s="3" t="s">
        <v>51</v>
      </c>
      <c r="E89" s="82" t="s">
        <v>21</v>
      </c>
      <c r="F89" s="19"/>
      <c r="G89" s="20">
        <v>-89</v>
      </c>
      <c r="H89" s="20"/>
      <c r="I89" s="20"/>
      <c r="J89" s="4"/>
      <c r="K89" s="2"/>
      <c r="L89" s="2"/>
    </row>
    <row r="90" spans="1:12" ht="15" customHeight="1" x14ac:dyDescent="0.3">
      <c r="A90" s="41"/>
      <c r="B90" s="14">
        <v>46211</v>
      </c>
      <c r="C90" s="48">
        <v>85</v>
      </c>
      <c r="D90" s="3" t="s">
        <v>46</v>
      </c>
      <c r="E90" s="3" t="s">
        <v>0</v>
      </c>
      <c r="F90" s="19"/>
      <c r="G90" s="20">
        <v>-16.940000000000001</v>
      </c>
      <c r="H90" s="20"/>
      <c r="I90" s="20"/>
      <c r="J90" s="4"/>
      <c r="K90" s="2"/>
      <c r="L90" s="2"/>
    </row>
    <row r="91" spans="1:12" ht="15" customHeight="1" x14ac:dyDescent="0.3">
      <c r="A91" s="41"/>
      <c r="B91" s="14">
        <v>46214</v>
      </c>
      <c r="C91" s="48">
        <v>86</v>
      </c>
      <c r="D91" s="3" t="s">
        <v>130</v>
      </c>
      <c r="E91" s="3" t="s">
        <v>0</v>
      </c>
      <c r="F91" s="19"/>
      <c r="G91" s="20"/>
      <c r="H91" s="20"/>
      <c r="I91" s="20">
        <v>-190.09</v>
      </c>
      <c r="J91" s="4"/>
      <c r="K91" s="2"/>
      <c r="L91" s="2"/>
    </row>
    <row r="92" spans="1:12" ht="15" customHeight="1" x14ac:dyDescent="0.3">
      <c r="A92" s="41"/>
      <c r="B92" s="14">
        <v>46214</v>
      </c>
      <c r="C92" s="48">
        <v>87</v>
      </c>
      <c r="D92" s="3" t="s">
        <v>130</v>
      </c>
      <c r="E92" s="3" t="s">
        <v>0</v>
      </c>
      <c r="F92" s="19"/>
      <c r="G92" s="20"/>
      <c r="H92" s="20"/>
      <c r="I92" s="20">
        <v>-189.85</v>
      </c>
      <c r="J92" s="4"/>
      <c r="K92" s="2"/>
      <c r="L92" s="2"/>
    </row>
    <row r="93" spans="1:12" ht="15" customHeight="1" x14ac:dyDescent="0.3">
      <c r="A93" s="41"/>
      <c r="B93" s="14">
        <v>46216</v>
      </c>
      <c r="C93" s="48">
        <v>88</v>
      </c>
      <c r="D93" s="3" t="s">
        <v>46</v>
      </c>
      <c r="E93" s="3" t="s">
        <v>0</v>
      </c>
      <c r="F93" s="19"/>
      <c r="G93" s="20">
        <v>-10.98</v>
      </c>
      <c r="H93" s="20"/>
      <c r="I93" s="20"/>
      <c r="J93" s="4"/>
      <c r="K93" s="2"/>
      <c r="L93" s="2"/>
    </row>
    <row r="94" spans="1:12" ht="15" customHeight="1" x14ac:dyDescent="0.3">
      <c r="A94" s="41"/>
      <c r="B94" s="14">
        <v>46222</v>
      </c>
      <c r="C94" s="48">
        <v>89</v>
      </c>
      <c r="D94" s="3" t="s">
        <v>131</v>
      </c>
      <c r="E94" s="3" t="s">
        <v>0</v>
      </c>
      <c r="F94" s="19"/>
      <c r="G94" s="20"/>
      <c r="H94" s="20"/>
      <c r="I94" s="20"/>
      <c r="J94" s="4"/>
      <c r="K94" s="2"/>
      <c r="L94" s="2"/>
    </row>
    <row r="95" spans="1:12" ht="15" customHeight="1" x14ac:dyDescent="0.3">
      <c r="A95" s="41"/>
      <c r="B95" s="14">
        <v>46222</v>
      </c>
      <c r="C95" s="48">
        <v>90</v>
      </c>
      <c r="D95" s="3" t="s">
        <v>131</v>
      </c>
      <c r="E95" s="3" t="s">
        <v>0</v>
      </c>
      <c r="F95" s="19"/>
      <c r="G95" s="20"/>
      <c r="H95" s="20"/>
      <c r="I95" s="20"/>
      <c r="J95" s="4"/>
      <c r="K95" s="2"/>
      <c r="L95" s="2"/>
    </row>
    <row r="96" spans="1:12" ht="15" customHeight="1" x14ac:dyDescent="0.3">
      <c r="A96" s="41"/>
      <c r="B96" s="14">
        <v>46217</v>
      </c>
      <c r="C96" s="48">
        <v>91</v>
      </c>
      <c r="D96" s="81" t="s">
        <v>132</v>
      </c>
      <c r="E96" s="3" t="s">
        <v>0</v>
      </c>
      <c r="F96" s="19"/>
      <c r="G96" s="20">
        <v>-102.67</v>
      </c>
      <c r="H96" s="20"/>
      <c r="I96" s="20"/>
      <c r="J96" s="4"/>
      <c r="K96" s="2"/>
      <c r="L96" s="2"/>
    </row>
    <row r="97" spans="1:246" ht="15" customHeight="1" x14ac:dyDescent="0.3">
      <c r="A97" s="41"/>
      <c r="B97" s="14">
        <v>46218</v>
      </c>
      <c r="C97" s="48">
        <v>92</v>
      </c>
      <c r="D97" s="85" t="s">
        <v>52</v>
      </c>
      <c r="E97" s="3" t="s">
        <v>21</v>
      </c>
      <c r="F97" s="19"/>
      <c r="G97" s="20">
        <v>-18.36</v>
      </c>
      <c r="H97" s="20"/>
      <c r="J97" s="4"/>
      <c r="K97" s="2"/>
      <c r="L97" s="2"/>
    </row>
    <row r="98" spans="1:246" ht="15" customHeight="1" x14ac:dyDescent="0.3">
      <c r="A98" s="41"/>
      <c r="B98" s="14">
        <v>46219</v>
      </c>
      <c r="C98" s="48">
        <v>93</v>
      </c>
      <c r="D98" s="3" t="s">
        <v>133</v>
      </c>
      <c r="E98" s="3" t="s">
        <v>0</v>
      </c>
      <c r="F98" s="19"/>
      <c r="G98" s="20"/>
      <c r="H98" s="20"/>
      <c r="I98" s="20">
        <v>-21.52</v>
      </c>
      <c r="J98" s="4"/>
      <c r="K98" s="2"/>
      <c r="L98" s="2"/>
    </row>
    <row r="99" spans="1:246" ht="15" customHeight="1" x14ac:dyDescent="0.3">
      <c r="A99" s="41"/>
      <c r="B99" s="14">
        <v>46219</v>
      </c>
      <c r="C99" s="48">
        <v>94</v>
      </c>
      <c r="D99" s="3" t="s">
        <v>134</v>
      </c>
      <c r="E99" s="3" t="s">
        <v>0</v>
      </c>
      <c r="F99" s="16"/>
      <c r="G99" s="20"/>
      <c r="H99" s="20"/>
      <c r="I99" s="20">
        <v>-30</v>
      </c>
      <c r="J99" s="4"/>
      <c r="K99" s="2"/>
      <c r="L99" s="2"/>
    </row>
    <row r="100" spans="1:246" ht="15" customHeight="1" x14ac:dyDescent="0.3">
      <c r="A100" s="41"/>
      <c r="B100" s="14">
        <v>46223</v>
      </c>
      <c r="C100" s="48">
        <v>95</v>
      </c>
      <c r="D100" s="3" t="s">
        <v>135</v>
      </c>
      <c r="E100" s="3" t="s">
        <v>0</v>
      </c>
      <c r="F100" s="16"/>
      <c r="G100" s="20"/>
      <c r="H100" s="20"/>
      <c r="I100" s="20">
        <v>-219.7</v>
      </c>
      <c r="J100" s="4"/>
      <c r="K100" s="2"/>
      <c r="L100" s="2"/>
    </row>
    <row r="101" spans="1:246" ht="15" customHeight="1" x14ac:dyDescent="0.3">
      <c r="A101" s="41"/>
      <c r="B101" s="14">
        <v>46223</v>
      </c>
      <c r="C101" s="48">
        <v>96</v>
      </c>
      <c r="D101" s="3" t="s">
        <v>136</v>
      </c>
      <c r="E101" s="3" t="s">
        <v>0</v>
      </c>
      <c r="F101" s="19"/>
      <c r="G101" s="20"/>
      <c r="H101" s="20"/>
      <c r="I101" s="20">
        <v>-55.35</v>
      </c>
      <c r="J101" s="4"/>
      <c r="K101" s="2"/>
      <c r="L101" s="2"/>
    </row>
    <row r="102" spans="1:246" ht="15" customHeight="1" x14ac:dyDescent="0.3">
      <c r="A102" s="41"/>
      <c r="B102" s="14">
        <v>46223</v>
      </c>
      <c r="C102" s="48">
        <v>97</v>
      </c>
      <c r="D102" s="3" t="s">
        <v>137</v>
      </c>
      <c r="E102" s="3" t="s">
        <v>0</v>
      </c>
      <c r="F102" s="19"/>
      <c r="G102" s="20"/>
      <c r="H102" s="20"/>
      <c r="I102" s="20">
        <v>-140.94</v>
      </c>
      <c r="J102" s="4"/>
      <c r="K102" s="2"/>
      <c r="L102" s="2"/>
    </row>
    <row r="103" spans="1:246" ht="15" customHeight="1" x14ac:dyDescent="0.3">
      <c r="A103" s="41"/>
      <c r="B103" s="14">
        <v>46224</v>
      </c>
      <c r="C103" s="48">
        <v>98</v>
      </c>
      <c r="D103" s="3" t="s">
        <v>142</v>
      </c>
      <c r="E103" s="3" t="s">
        <v>0</v>
      </c>
      <c r="F103" s="19"/>
      <c r="G103" s="20"/>
      <c r="H103" s="20"/>
      <c r="I103" s="20">
        <v>-11</v>
      </c>
      <c r="J103" s="4"/>
      <c r="K103" s="2"/>
      <c r="L103" s="2"/>
      <c r="IK103"/>
      <c r="IL103"/>
    </row>
    <row r="104" spans="1:246" ht="15" customHeight="1" x14ac:dyDescent="0.3">
      <c r="A104" s="41"/>
      <c r="B104" s="14">
        <v>46224</v>
      </c>
      <c r="C104" s="48">
        <v>99</v>
      </c>
      <c r="D104" s="81" t="s">
        <v>143</v>
      </c>
      <c r="E104" s="3" t="s">
        <v>0</v>
      </c>
      <c r="F104" s="19"/>
      <c r="G104" s="20"/>
      <c r="H104" s="20"/>
      <c r="I104" s="20">
        <v>-28.51</v>
      </c>
      <c r="J104" s="4"/>
      <c r="K104" s="2"/>
      <c r="L104" s="2"/>
    </row>
    <row r="105" spans="1:246" ht="15" customHeight="1" x14ac:dyDescent="0.3">
      <c r="A105" s="41"/>
      <c r="B105" s="14">
        <v>46224</v>
      </c>
      <c r="C105" s="48">
        <v>100</v>
      </c>
      <c r="D105" s="3" t="s">
        <v>46</v>
      </c>
      <c r="E105" s="3" t="s">
        <v>0</v>
      </c>
      <c r="F105" s="19"/>
      <c r="G105" s="20"/>
      <c r="H105" s="20"/>
      <c r="I105" s="20">
        <v>-22.13</v>
      </c>
      <c r="J105" s="4"/>
      <c r="K105" s="2"/>
      <c r="L105" s="2"/>
    </row>
    <row r="106" spans="1:246" ht="15" customHeight="1" x14ac:dyDescent="0.3">
      <c r="A106" s="41"/>
      <c r="B106" s="14">
        <v>46224</v>
      </c>
      <c r="C106" s="48">
        <v>101</v>
      </c>
      <c r="D106" s="3" t="s">
        <v>144</v>
      </c>
      <c r="E106" s="3" t="s">
        <v>0</v>
      </c>
      <c r="F106" s="19"/>
      <c r="G106" s="20"/>
      <c r="H106" s="20"/>
      <c r="I106" s="20">
        <v>-411.28</v>
      </c>
      <c r="J106" s="4"/>
      <c r="K106" s="2"/>
      <c r="L106" s="2"/>
    </row>
    <row r="107" spans="1:246" ht="15" customHeight="1" x14ac:dyDescent="0.3">
      <c r="A107" s="41"/>
      <c r="B107" s="14">
        <v>46225</v>
      </c>
      <c r="C107" s="48">
        <v>102</v>
      </c>
      <c r="D107" s="81" t="s">
        <v>46</v>
      </c>
      <c r="E107" s="3" t="s">
        <v>0</v>
      </c>
      <c r="F107" s="19"/>
      <c r="G107" s="20"/>
      <c r="H107" s="20"/>
      <c r="I107" s="20">
        <v>-11.27</v>
      </c>
      <c r="J107" s="4"/>
      <c r="K107" s="2"/>
      <c r="L107" s="2"/>
    </row>
    <row r="108" spans="1:246" ht="15" customHeight="1" x14ac:dyDescent="0.3">
      <c r="A108" s="41"/>
      <c r="B108" s="14">
        <v>46227</v>
      </c>
      <c r="C108" s="48">
        <v>103</v>
      </c>
      <c r="D108" s="3" t="s">
        <v>146</v>
      </c>
      <c r="E108" s="3" t="s">
        <v>0</v>
      </c>
      <c r="F108" s="19"/>
      <c r="G108" s="20"/>
      <c r="H108" s="20"/>
      <c r="I108" s="20">
        <v>-32.53</v>
      </c>
      <c r="J108" s="4"/>
      <c r="K108" s="2"/>
      <c r="L108" s="2"/>
    </row>
    <row r="109" spans="1:246" ht="15" customHeight="1" x14ac:dyDescent="0.3">
      <c r="A109" s="41"/>
      <c r="B109" s="14">
        <v>46230</v>
      </c>
      <c r="C109" s="48">
        <v>104</v>
      </c>
      <c r="D109" s="81" t="s">
        <v>55</v>
      </c>
      <c r="E109" s="82" t="s">
        <v>21</v>
      </c>
      <c r="F109" s="19"/>
      <c r="G109" s="20">
        <v>-4.99</v>
      </c>
      <c r="H109" s="20"/>
      <c r="I109" s="20"/>
      <c r="J109" s="4"/>
      <c r="K109" s="2"/>
      <c r="L109" s="2"/>
    </row>
    <row r="110" spans="1:246" ht="15" customHeight="1" x14ac:dyDescent="0.3">
      <c r="A110" s="41"/>
      <c r="B110" s="14">
        <v>46234</v>
      </c>
      <c r="C110" s="48">
        <v>105</v>
      </c>
      <c r="D110" s="3" t="s">
        <v>148</v>
      </c>
      <c r="E110" s="82" t="s">
        <v>21</v>
      </c>
      <c r="F110" s="19"/>
      <c r="G110" s="20"/>
      <c r="H110" s="20"/>
      <c r="I110" s="20">
        <v>-2.5</v>
      </c>
      <c r="J110" s="4"/>
      <c r="K110" s="2"/>
      <c r="L110" s="2"/>
    </row>
    <row r="111" spans="1:246" ht="15" customHeight="1" x14ac:dyDescent="0.3">
      <c r="A111" s="41"/>
      <c r="B111" s="14">
        <v>46237</v>
      </c>
      <c r="C111" s="48">
        <v>106</v>
      </c>
      <c r="D111" s="3" t="s">
        <v>149</v>
      </c>
      <c r="E111" s="3" t="s">
        <v>0</v>
      </c>
      <c r="F111" s="19"/>
      <c r="G111" s="20"/>
      <c r="H111" s="20"/>
      <c r="I111" s="20">
        <v>-96.63</v>
      </c>
      <c r="J111" s="4"/>
      <c r="K111" s="2"/>
      <c r="L111" s="2"/>
    </row>
    <row r="112" spans="1:246" ht="15" customHeight="1" x14ac:dyDescent="0.3">
      <c r="A112" s="41"/>
      <c r="B112" s="14">
        <v>46237</v>
      </c>
      <c r="C112" s="48">
        <v>107</v>
      </c>
      <c r="D112" s="3" t="s">
        <v>20</v>
      </c>
      <c r="E112" s="82" t="s">
        <v>21</v>
      </c>
      <c r="F112" s="16"/>
      <c r="G112" s="20">
        <v>-12</v>
      </c>
      <c r="H112" s="20"/>
      <c r="I112" s="20"/>
      <c r="J112" s="4"/>
      <c r="K112" s="2"/>
      <c r="L112" s="2"/>
    </row>
    <row r="113" spans="1:12" ht="15" customHeight="1" x14ac:dyDescent="0.3">
      <c r="A113" s="41"/>
      <c r="B113" s="14">
        <v>46238</v>
      </c>
      <c r="C113" s="48">
        <v>108</v>
      </c>
      <c r="D113" s="3" t="s">
        <v>51</v>
      </c>
      <c r="E113" s="82" t="s">
        <v>21</v>
      </c>
      <c r="F113" s="19"/>
      <c r="G113" s="20">
        <v>-47</v>
      </c>
      <c r="H113" s="20"/>
      <c r="I113" s="20"/>
      <c r="J113" s="4"/>
      <c r="K113" s="2"/>
      <c r="L113" s="2"/>
    </row>
    <row r="114" spans="1:12" ht="15" customHeight="1" x14ac:dyDescent="0.3">
      <c r="A114" s="41"/>
      <c r="B114" s="14">
        <v>46238</v>
      </c>
      <c r="C114" s="48">
        <v>109</v>
      </c>
      <c r="D114" s="3" t="s">
        <v>51</v>
      </c>
      <c r="E114" s="82" t="s">
        <v>21</v>
      </c>
      <c r="F114" s="19"/>
      <c r="G114" s="20">
        <v>-89</v>
      </c>
      <c r="H114" s="20"/>
      <c r="I114" s="20"/>
      <c r="J114" s="4"/>
      <c r="K114" s="2"/>
      <c r="L114" s="2"/>
    </row>
    <row r="115" spans="1:12" ht="15" customHeight="1" x14ac:dyDescent="0.3">
      <c r="A115" s="41"/>
      <c r="B115" s="14">
        <v>46238</v>
      </c>
      <c r="C115" s="48">
        <v>110</v>
      </c>
      <c r="D115" s="3" t="s">
        <v>46</v>
      </c>
      <c r="E115" s="3" t="s">
        <v>0</v>
      </c>
      <c r="F115" s="19"/>
      <c r="G115" s="20">
        <v>-4.67</v>
      </c>
      <c r="H115" s="20"/>
      <c r="I115" s="20"/>
      <c r="J115" s="4"/>
      <c r="K115" s="2"/>
      <c r="L115" s="2"/>
    </row>
    <row r="116" spans="1:12" ht="15" customHeight="1" x14ac:dyDescent="0.3">
      <c r="A116" s="41"/>
      <c r="B116" s="14">
        <v>46246</v>
      </c>
      <c r="C116" s="48">
        <v>111</v>
      </c>
      <c r="D116" s="3" t="s">
        <v>156</v>
      </c>
      <c r="E116" s="82" t="s">
        <v>13</v>
      </c>
      <c r="F116" s="19"/>
      <c r="G116" s="20"/>
      <c r="H116" s="20"/>
      <c r="I116" s="20">
        <v>-15</v>
      </c>
      <c r="J116" s="4"/>
      <c r="K116" s="2"/>
      <c r="L116" s="2"/>
    </row>
    <row r="117" spans="1:12" ht="15" customHeight="1" x14ac:dyDescent="0.3">
      <c r="A117" s="41"/>
      <c r="B117" s="14">
        <v>46251</v>
      </c>
      <c r="C117" s="48">
        <v>112</v>
      </c>
      <c r="D117" s="3" t="s">
        <v>157</v>
      </c>
      <c r="E117" s="3" t="s">
        <v>0</v>
      </c>
      <c r="F117" s="16"/>
      <c r="G117" s="20"/>
      <c r="H117" s="20"/>
      <c r="I117" s="20">
        <v>-180</v>
      </c>
      <c r="J117" s="4"/>
      <c r="K117" s="2"/>
      <c r="L117" s="2"/>
    </row>
    <row r="118" spans="1:12" ht="15" customHeight="1" x14ac:dyDescent="0.3">
      <c r="A118" s="41"/>
      <c r="B118" s="14">
        <v>46252</v>
      </c>
      <c r="C118" s="48">
        <v>113</v>
      </c>
      <c r="D118" s="3" t="s">
        <v>69</v>
      </c>
      <c r="E118" s="3" t="s">
        <v>13</v>
      </c>
      <c r="F118" s="19"/>
      <c r="G118" s="20"/>
      <c r="H118" s="20"/>
      <c r="I118" s="20">
        <v>-10.5</v>
      </c>
      <c r="J118" s="4"/>
      <c r="K118" s="2"/>
      <c r="L118" s="2"/>
    </row>
    <row r="119" spans="1:12" ht="15" customHeight="1" x14ac:dyDescent="0.3">
      <c r="A119" s="41"/>
      <c r="B119" s="14">
        <v>46252</v>
      </c>
      <c r="C119" s="48">
        <v>114</v>
      </c>
      <c r="D119" s="3" t="s">
        <v>46</v>
      </c>
      <c r="E119" s="3" t="s">
        <v>0</v>
      </c>
      <c r="F119" s="19"/>
      <c r="G119" s="20">
        <v>-4.95</v>
      </c>
      <c r="H119" s="20"/>
      <c r="I119" s="20"/>
      <c r="J119" s="4"/>
      <c r="K119" s="2"/>
      <c r="L119" s="2"/>
    </row>
    <row r="120" spans="1:12" ht="15" customHeight="1" x14ac:dyDescent="0.3">
      <c r="A120" s="41"/>
      <c r="B120" s="14">
        <v>46253</v>
      </c>
      <c r="C120" s="48">
        <v>115</v>
      </c>
      <c r="D120" s="3" t="s">
        <v>46</v>
      </c>
      <c r="E120" s="3" t="s">
        <v>0</v>
      </c>
      <c r="F120" s="19"/>
      <c r="G120" s="20">
        <v>-5.49</v>
      </c>
      <c r="H120" s="20"/>
      <c r="I120" s="20"/>
      <c r="J120" s="4"/>
      <c r="K120" s="2"/>
      <c r="L120" s="2"/>
    </row>
    <row r="121" spans="1:12" ht="15" customHeight="1" x14ac:dyDescent="0.3">
      <c r="A121" s="41"/>
      <c r="B121" s="14">
        <v>46258</v>
      </c>
      <c r="C121" s="48">
        <v>116</v>
      </c>
      <c r="D121" s="3" t="s">
        <v>46</v>
      </c>
      <c r="E121" s="3" t="s">
        <v>0</v>
      </c>
      <c r="F121" s="19"/>
      <c r="G121" s="20">
        <v>-18.62</v>
      </c>
      <c r="H121" s="20"/>
      <c r="I121" s="20"/>
      <c r="J121" s="4"/>
      <c r="K121" s="2"/>
      <c r="L121" s="2"/>
    </row>
    <row r="122" spans="1:12" ht="15" customHeight="1" x14ac:dyDescent="0.3">
      <c r="A122" s="41"/>
      <c r="B122" s="14">
        <v>46261</v>
      </c>
      <c r="C122" s="48">
        <v>117</v>
      </c>
      <c r="D122" s="81" t="s">
        <v>55</v>
      </c>
      <c r="E122" s="82" t="s">
        <v>21</v>
      </c>
      <c r="F122" s="19"/>
      <c r="G122" s="20">
        <v>-4.99</v>
      </c>
      <c r="H122" s="20"/>
      <c r="I122" s="20"/>
      <c r="J122" s="4"/>
      <c r="K122" s="2"/>
      <c r="L122" s="2"/>
    </row>
    <row r="123" spans="1:12" ht="15" customHeight="1" x14ac:dyDescent="0.3">
      <c r="A123" s="41"/>
      <c r="B123" s="14">
        <v>46267</v>
      </c>
      <c r="C123" s="48">
        <v>118</v>
      </c>
      <c r="D123" s="3" t="s">
        <v>51</v>
      </c>
      <c r="E123" s="82" t="s">
        <v>21</v>
      </c>
      <c r="F123" s="19"/>
      <c r="G123" s="20">
        <v>-47</v>
      </c>
      <c r="H123" s="20"/>
      <c r="I123" s="20"/>
      <c r="J123" s="4"/>
      <c r="K123" s="2"/>
      <c r="L123" s="2"/>
    </row>
    <row r="124" spans="1:12" ht="15" customHeight="1" x14ac:dyDescent="0.3">
      <c r="A124" s="41"/>
      <c r="B124" s="14">
        <v>46267</v>
      </c>
      <c r="C124" s="48">
        <v>119</v>
      </c>
      <c r="D124" s="3" t="s">
        <v>51</v>
      </c>
      <c r="E124" s="82" t="s">
        <v>21</v>
      </c>
      <c r="F124" s="19"/>
      <c r="G124" s="20">
        <v>-89</v>
      </c>
      <c r="H124" s="20"/>
      <c r="I124" s="20"/>
      <c r="J124" s="4"/>
      <c r="K124" s="2"/>
      <c r="L124" s="2"/>
    </row>
    <row r="125" spans="1:12" ht="15" customHeight="1" x14ac:dyDescent="0.3">
      <c r="A125" s="41"/>
      <c r="B125" s="14">
        <v>46268</v>
      </c>
      <c r="C125" s="48">
        <v>120</v>
      </c>
      <c r="D125" s="3" t="s">
        <v>20</v>
      </c>
      <c r="E125" s="82" t="s">
        <v>21</v>
      </c>
      <c r="F125" s="16"/>
      <c r="G125" s="20">
        <v>-12</v>
      </c>
      <c r="H125" s="20"/>
      <c r="I125" s="20"/>
      <c r="J125" s="4"/>
      <c r="K125" s="2"/>
      <c r="L125" s="2"/>
    </row>
    <row r="126" spans="1:12" ht="15" customHeight="1" x14ac:dyDescent="0.3">
      <c r="A126" s="41"/>
      <c r="B126" s="14">
        <v>46268</v>
      </c>
      <c r="C126" s="48">
        <v>121</v>
      </c>
      <c r="D126" s="81" t="s">
        <v>55</v>
      </c>
      <c r="E126" s="82" t="s">
        <v>21</v>
      </c>
      <c r="F126" s="19"/>
      <c r="G126" s="20">
        <v>-4.99</v>
      </c>
      <c r="H126" s="20"/>
      <c r="I126" s="20"/>
      <c r="J126" s="4"/>
      <c r="K126" s="2"/>
      <c r="L126" s="2"/>
    </row>
    <row r="127" spans="1:12" ht="15" customHeight="1" x14ac:dyDescent="0.3">
      <c r="A127" s="41"/>
      <c r="B127" s="14">
        <v>46293</v>
      </c>
      <c r="C127" s="48">
        <v>122</v>
      </c>
      <c r="D127" s="81" t="s">
        <v>46</v>
      </c>
      <c r="E127" s="82" t="s">
        <v>21</v>
      </c>
      <c r="F127" s="19"/>
      <c r="G127" s="20">
        <v>-8.9700000000000006</v>
      </c>
      <c r="H127" s="20"/>
      <c r="I127" s="20"/>
      <c r="J127" s="4"/>
      <c r="K127" s="2"/>
      <c r="L127" s="2"/>
    </row>
    <row r="128" spans="1:12" ht="15" customHeight="1" x14ac:dyDescent="0.3">
      <c r="A128" s="41"/>
      <c r="B128" s="14">
        <v>46295</v>
      </c>
      <c r="C128" s="48" t="s">
        <v>161</v>
      </c>
      <c r="D128" s="81" t="s">
        <v>162</v>
      </c>
      <c r="E128" s="82" t="s">
        <v>21</v>
      </c>
      <c r="F128" s="19"/>
      <c r="G128" s="20"/>
      <c r="H128" s="20"/>
      <c r="I128" s="20">
        <v>-7.5</v>
      </c>
      <c r="J128" s="4"/>
      <c r="K128" s="2"/>
      <c r="L128" s="2"/>
    </row>
    <row r="129" spans="1:12" ht="15" customHeight="1" x14ac:dyDescent="0.3">
      <c r="A129" s="41"/>
      <c r="B129" s="14">
        <v>46297</v>
      </c>
      <c r="C129" s="48">
        <v>123</v>
      </c>
      <c r="D129" s="3" t="s">
        <v>51</v>
      </c>
      <c r="E129" s="82" t="s">
        <v>21</v>
      </c>
      <c r="F129" s="19"/>
      <c r="G129" s="20">
        <v>-47</v>
      </c>
      <c r="H129" s="20"/>
      <c r="I129" s="20"/>
      <c r="J129" s="4"/>
      <c r="K129" s="2"/>
      <c r="L129" s="2"/>
    </row>
    <row r="130" spans="1:12" ht="15" customHeight="1" x14ac:dyDescent="0.3">
      <c r="A130" s="41"/>
      <c r="B130" s="14">
        <v>46297</v>
      </c>
      <c r="C130" s="48">
        <v>124</v>
      </c>
      <c r="D130" s="3" t="s">
        <v>51</v>
      </c>
      <c r="E130" s="82" t="s">
        <v>21</v>
      </c>
      <c r="F130" s="19"/>
      <c r="G130" s="20">
        <v>-89</v>
      </c>
      <c r="H130" s="20"/>
      <c r="I130" s="20"/>
      <c r="J130" s="4"/>
      <c r="K130" s="2"/>
      <c r="L130" s="2"/>
    </row>
    <row r="131" spans="1:12" ht="15" customHeight="1" x14ac:dyDescent="0.3">
      <c r="A131" s="41"/>
      <c r="B131" s="14">
        <v>46297</v>
      </c>
      <c r="C131" s="48">
        <v>125</v>
      </c>
      <c r="D131" s="3" t="s">
        <v>20</v>
      </c>
      <c r="E131" s="82" t="s">
        <v>21</v>
      </c>
      <c r="F131" s="16"/>
      <c r="G131" s="20">
        <v>-12</v>
      </c>
      <c r="H131" s="20"/>
      <c r="I131" s="20"/>
      <c r="J131" s="4"/>
      <c r="K131" s="2"/>
      <c r="L131" s="2"/>
    </row>
    <row r="132" spans="1:12" ht="15" customHeight="1" x14ac:dyDescent="0.3">
      <c r="A132" s="41"/>
      <c r="B132" s="14">
        <v>46303</v>
      </c>
      <c r="C132" s="48">
        <v>126</v>
      </c>
      <c r="D132" s="3" t="s">
        <v>163</v>
      </c>
      <c r="E132" s="3" t="s">
        <v>13</v>
      </c>
      <c r="F132" s="19"/>
      <c r="G132" s="20">
        <v>-20</v>
      </c>
      <c r="H132" s="20"/>
      <c r="I132" s="20"/>
      <c r="J132" s="4"/>
      <c r="K132" s="2"/>
      <c r="L132" s="2"/>
    </row>
    <row r="133" spans="1:12" ht="15" customHeight="1" x14ac:dyDescent="0.3">
      <c r="A133" s="41"/>
      <c r="B133" s="14">
        <v>46303</v>
      </c>
      <c r="C133" s="48">
        <v>127</v>
      </c>
      <c r="D133" s="81" t="s">
        <v>164</v>
      </c>
      <c r="E133" s="2" t="s">
        <v>18</v>
      </c>
      <c r="F133" s="19"/>
      <c r="G133" s="20">
        <v>-111.38</v>
      </c>
      <c r="H133" s="20"/>
      <c r="I133" s="20"/>
      <c r="J133" s="4"/>
      <c r="K133" s="2"/>
      <c r="L133" s="2"/>
    </row>
    <row r="134" spans="1:12" ht="15" customHeight="1" x14ac:dyDescent="0.3">
      <c r="A134" s="41"/>
      <c r="B134" s="14"/>
      <c r="C134" s="48">
        <v>128</v>
      </c>
      <c r="D134" s="37"/>
      <c r="E134" s="2"/>
      <c r="F134" s="19"/>
      <c r="G134" s="20"/>
      <c r="H134" s="20"/>
      <c r="I134" s="20"/>
      <c r="J134" s="4"/>
      <c r="K134" s="2"/>
      <c r="L134" s="2"/>
    </row>
    <row r="135" spans="1:12" ht="15" customHeight="1" x14ac:dyDescent="0.3">
      <c r="A135" s="41"/>
      <c r="B135" s="14"/>
      <c r="C135" s="48">
        <v>129</v>
      </c>
      <c r="D135" s="3"/>
      <c r="E135" s="82"/>
      <c r="F135" s="19"/>
      <c r="G135" s="20"/>
      <c r="H135" s="20"/>
      <c r="I135" s="20"/>
      <c r="J135" s="4"/>
      <c r="K135" s="2"/>
      <c r="L135" s="2"/>
    </row>
    <row r="136" spans="1:12" ht="15" customHeight="1" x14ac:dyDescent="0.3">
      <c r="A136" s="41"/>
      <c r="B136" s="14"/>
      <c r="C136" s="48">
        <v>130</v>
      </c>
      <c r="D136" s="3"/>
      <c r="E136" s="21"/>
      <c r="F136" s="19"/>
      <c r="G136" s="20"/>
      <c r="H136" s="20"/>
      <c r="I136" s="20"/>
      <c r="J136" s="4"/>
      <c r="K136" s="2"/>
      <c r="L136" s="2"/>
    </row>
    <row r="137" spans="1:12" ht="15" customHeight="1" x14ac:dyDescent="0.3">
      <c r="A137" s="41"/>
      <c r="B137" s="14"/>
      <c r="C137" s="48">
        <v>131</v>
      </c>
      <c r="D137" s="3"/>
      <c r="E137" s="82"/>
      <c r="F137" s="19"/>
      <c r="G137" s="20"/>
      <c r="H137" s="20"/>
      <c r="I137" s="20"/>
      <c r="J137" s="4"/>
      <c r="K137" s="2"/>
      <c r="L137" s="2"/>
    </row>
    <row r="138" spans="1:12" ht="15" customHeight="1" x14ac:dyDescent="0.3">
      <c r="A138" s="41"/>
      <c r="B138" s="14"/>
      <c r="C138" s="48">
        <v>132</v>
      </c>
      <c r="D138" s="3"/>
      <c r="E138" s="21"/>
      <c r="F138" s="19"/>
      <c r="G138" s="20"/>
      <c r="H138" s="20"/>
      <c r="I138" s="20"/>
      <c r="J138" s="4"/>
      <c r="K138" s="2"/>
      <c r="L138" s="2"/>
    </row>
    <row r="139" spans="1:12" ht="15" customHeight="1" x14ac:dyDescent="0.3">
      <c r="A139" s="41"/>
      <c r="B139" s="14"/>
      <c r="C139" s="48">
        <v>133</v>
      </c>
      <c r="D139" s="3"/>
      <c r="E139" s="21"/>
      <c r="F139" s="19"/>
      <c r="G139" s="20"/>
      <c r="H139" s="20"/>
      <c r="I139" s="20"/>
      <c r="J139" s="4"/>
      <c r="K139" s="2"/>
      <c r="L139" s="2"/>
    </row>
    <row r="140" spans="1:12" ht="15" customHeight="1" x14ac:dyDescent="0.3">
      <c r="A140" s="41"/>
      <c r="B140" s="14"/>
      <c r="C140" s="48">
        <v>134</v>
      </c>
      <c r="D140" s="3"/>
      <c r="E140" s="82"/>
      <c r="F140" s="19"/>
      <c r="G140" s="20"/>
      <c r="H140" s="20"/>
      <c r="I140" s="20"/>
      <c r="J140" s="4"/>
      <c r="K140" s="2"/>
      <c r="L140" s="2"/>
    </row>
    <row r="141" spans="1:12" ht="15" customHeight="1" x14ac:dyDescent="0.3">
      <c r="A141" s="41"/>
      <c r="B141" s="14"/>
      <c r="C141" s="48">
        <v>135</v>
      </c>
      <c r="D141" s="3"/>
      <c r="E141" s="21"/>
      <c r="F141" s="19"/>
      <c r="G141" s="20"/>
      <c r="H141" s="20"/>
      <c r="I141" s="20"/>
      <c r="J141" s="4"/>
      <c r="K141" s="2"/>
      <c r="L141" s="2"/>
    </row>
    <row r="142" spans="1:12" ht="15" customHeight="1" x14ac:dyDescent="0.3">
      <c r="A142" s="41"/>
      <c r="B142" s="14"/>
      <c r="C142" s="48">
        <v>136</v>
      </c>
      <c r="D142" s="81"/>
      <c r="E142" s="82"/>
      <c r="F142" s="19"/>
      <c r="G142" s="20"/>
      <c r="H142" s="20"/>
      <c r="I142" s="20"/>
      <c r="J142" s="4"/>
      <c r="K142" s="2"/>
      <c r="L142" s="2"/>
    </row>
    <row r="143" spans="1:12" ht="15" customHeight="1" x14ac:dyDescent="0.3">
      <c r="A143" s="41"/>
      <c r="B143" s="14"/>
      <c r="C143" s="48">
        <v>137</v>
      </c>
      <c r="D143" s="81"/>
      <c r="E143" s="82"/>
      <c r="F143" s="19"/>
      <c r="G143" s="20"/>
      <c r="H143" s="20"/>
      <c r="I143" s="20"/>
      <c r="J143" s="4"/>
      <c r="K143" s="2"/>
      <c r="L143" s="2"/>
    </row>
    <row r="144" spans="1:12" ht="15" customHeight="1" x14ac:dyDescent="0.3">
      <c r="A144" s="41"/>
      <c r="B144" s="14"/>
      <c r="C144" s="48">
        <v>138</v>
      </c>
      <c r="D144" s="81"/>
      <c r="E144" s="82"/>
      <c r="F144" s="19"/>
      <c r="G144" s="20"/>
      <c r="H144" s="20"/>
      <c r="I144" s="20"/>
      <c r="J144" s="4"/>
      <c r="K144" s="2"/>
      <c r="L144" s="2"/>
    </row>
    <row r="145" spans="1:12" ht="15" customHeight="1" x14ac:dyDescent="0.3">
      <c r="A145" s="41"/>
      <c r="B145" s="14"/>
      <c r="C145" s="48">
        <v>139</v>
      </c>
      <c r="D145" s="3"/>
      <c r="E145" s="82"/>
      <c r="F145" s="19"/>
      <c r="G145" s="20"/>
      <c r="H145" s="20"/>
      <c r="I145" s="20"/>
      <c r="J145" s="4"/>
      <c r="K145" s="2"/>
      <c r="L145" s="2"/>
    </row>
    <row r="146" spans="1:12" ht="15" customHeight="1" x14ac:dyDescent="0.3">
      <c r="A146" s="41"/>
      <c r="B146" s="14"/>
      <c r="C146" s="48">
        <v>140</v>
      </c>
      <c r="D146" s="3"/>
      <c r="E146" s="82"/>
      <c r="F146" s="19"/>
      <c r="G146" s="20"/>
      <c r="H146" s="20"/>
      <c r="I146" s="20"/>
      <c r="J146" s="4"/>
      <c r="K146" s="2"/>
      <c r="L146" s="2"/>
    </row>
    <row r="147" spans="1:12" ht="15" customHeight="1" x14ac:dyDescent="0.3">
      <c r="A147" s="41"/>
      <c r="B147" s="14"/>
      <c r="C147" s="48">
        <v>141</v>
      </c>
      <c r="D147" s="3"/>
      <c r="E147" s="2"/>
      <c r="F147" s="19"/>
      <c r="G147" s="20"/>
      <c r="H147" s="20"/>
      <c r="I147" s="20"/>
      <c r="J147" s="4"/>
      <c r="K147" s="2"/>
      <c r="L147" s="2"/>
    </row>
    <row r="148" spans="1:12" ht="15" customHeight="1" x14ac:dyDescent="0.3">
      <c r="A148" s="41"/>
      <c r="B148" s="14"/>
      <c r="C148" s="48">
        <v>141</v>
      </c>
      <c r="D148" s="3"/>
      <c r="E148" s="82"/>
      <c r="F148" s="19"/>
      <c r="G148" s="20"/>
      <c r="H148" s="20"/>
      <c r="I148" s="20"/>
      <c r="J148" s="4"/>
      <c r="K148" s="2"/>
      <c r="L148" s="2"/>
    </row>
    <row r="149" spans="1:12" ht="15" customHeight="1" x14ac:dyDescent="0.3">
      <c r="A149" s="41"/>
      <c r="B149" s="14"/>
      <c r="C149" s="48">
        <v>142</v>
      </c>
      <c r="D149" s="3"/>
      <c r="E149" s="82"/>
      <c r="F149" s="19"/>
      <c r="G149" s="20"/>
      <c r="H149" s="20"/>
      <c r="I149" s="20"/>
      <c r="J149" s="4"/>
      <c r="K149" s="2"/>
      <c r="L149" s="2"/>
    </row>
    <row r="150" spans="1:12" ht="15" customHeight="1" x14ac:dyDescent="0.3">
      <c r="A150" s="41"/>
      <c r="B150" s="14"/>
      <c r="C150" s="48">
        <v>143</v>
      </c>
      <c r="D150" s="3"/>
      <c r="E150" s="21"/>
      <c r="F150" s="19"/>
      <c r="G150" s="20"/>
      <c r="H150" s="20"/>
      <c r="I150" s="20"/>
      <c r="J150" s="4"/>
      <c r="K150" s="2"/>
    </row>
    <row r="151" spans="1:12" ht="15" customHeight="1" x14ac:dyDescent="0.3">
      <c r="A151" s="41"/>
      <c r="B151" s="14"/>
      <c r="C151" s="48">
        <v>144</v>
      </c>
      <c r="D151" s="37"/>
      <c r="E151" s="82"/>
      <c r="F151" s="19"/>
      <c r="G151" s="20"/>
      <c r="H151" s="20"/>
      <c r="I151" s="20"/>
      <c r="J151" s="4"/>
      <c r="K151" s="2"/>
      <c r="L151" s="2"/>
    </row>
    <row r="152" spans="1:12" ht="15" customHeight="1" x14ac:dyDescent="0.3">
      <c r="A152" s="41"/>
      <c r="B152" s="14"/>
      <c r="C152" s="48">
        <v>145</v>
      </c>
      <c r="D152" s="81"/>
      <c r="E152" s="82"/>
      <c r="F152" s="19"/>
      <c r="G152" s="20"/>
      <c r="H152" s="20"/>
      <c r="I152" s="20"/>
      <c r="J152" s="4"/>
      <c r="K152" s="2"/>
      <c r="L152" s="2"/>
    </row>
    <row r="153" spans="1:12" ht="15" customHeight="1" x14ac:dyDescent="0.3">
      <c r="A153" s="41"/>
      <c r="B153" s="14"/>
      <c r="C153" s="48">
        <v>146</v>
      </c>
      <c r="D153" s="3"/>
      <c r="E153" s="82"/>
      <c r="F153" s="19"/>
      <c r="G153" s="20"/>
      <c r="H153" s="20"/>
      <c r="I153" s="20"/>
      <c r="J153" s="4"/>
      <c r="K153" s="2"/>
      <c r="L153" s="2"/>
    </row>
    <row r="154" spans="1:12" ht="15" customHeight="1" x14ac:dyDescent="0.3">
      <c r="A154" s="41"/>
      <c r="B154" s="14"/>
      <c r="C154" s="48">
        <v>147</v>
      </c>
      <c r="D154" s="3"/>
      <c r="E154" s="21"/>
      <c r="F154" s="19"/>
      <c r="G154" s="20"/>
      <c r="H154" s="20"/>
      <c r="I154" s="20"/>
      <c r="J154" s="4"/>
      <c r="K154" s="2"/>
      <c r="L154" s="2"/>
    </row>
    <row r="155" spans="1:12" ht="15" customHeight="1" x14ac:dyDescent="0.3">
      <c r="A155" s="41"/>
      <c r="B155" s="14"/>
      <c r="C155" s="48">
        <v>148</v>
      </c>
      <c r="D155" s="37"/>
      <c r="E155" s="21"/>
      <c r="F155" s="19"/>
      <c r="G155" s="20"/>
      <c r="H155" s="20"/>
      <c r="I155" s="20"/>
      <c r="J155" s="4"/>
      <c r="K155" s="2"/>
      <c r="L155" s="2"/>
    </row>
    <row r="156" spans="1:12" ht="15" customHeight="1" x14ac:dyDescent="0.3">
      <c r="A156" s="41"/>
      <c r="B156" s="14"/>
      <c r="C156" s="48">
        <v>148</v>
      </c>
      <c r="D156" s="37"/>
      <c r="E156" s="21"/>
      <c r="F156" s="19"/>
      <c r="G156" s="20"/>
      <c r="H156" s="20"/>
      <c r="I156" s="20"/>
      <c r="J156" s="4"/>
      <c r="K156" s="2"/>
      <c r="L156" s="2"/>
    </row>
    <row r="157" spans="1:12" ht="15" customHeight="1" x14ac:dyDescent="0.3">
      <c r="A157" s="41"/>
      <c r="B157" s="14"/>
      <c r="C157" s="48">
        <v>149</v>
      </c>
      <c r="D157" s="3"/>
      <c r="E157" s="82"/>
      <c r="F157" s="19"/>
      <c r="G157" s="20"/>
      <c r="H157" s="20"/>
      <c r="I157" s="20"/>
      <c r="J157" s="4"/>
      <c r="K157" s="2"/>
      <c r="L157" s="2"/>
    </row>
    <row r="158" spans="1:12" ht="15" customHeight="1" x14ac:dyDescent="0.3">
      <c r="A158" s="41"/>
      <c r="B158" s="14"/>
      <c r="C158" s="48">
        <v>149.69999999999999</v>
      </c>
      <c r="D158" s="81"/>
      <c r="E158" s="82"/>
      <c r="F158" s="19"/>
      <c r="G158" s="20"/>
      <c r="H158" s="20"/>
      <c r="I158" s="20"/>
      <c r="J158" s="4"/>
      <c r="K158" s="2"/>
      <c r="L158" s="2"/>
    </row>
    <row r="159" spans="1:12" ht="15" customHeight="1" x14ac:dyDescent="0.3">
      <c r="A159" s="41"/>
      <c r="B159" s="14"/>
      <c r="C159" s="48">
        <v>151</v>
      </c>
      <c r="D159" s="81"/>
      <c r="E159" s="82"/>
      <c r="F159" s="19"/>
      <c r="G159" s="20"/>
      <c r="H159" s="20"/>
      <c r="I159" s="20"/>
      <c r="J159" s="4"/>
      <c r="K159" s="2"/>
      <c r="L159" s="2"/>
    </row>
    <row r="160" spans="1:12" ht="15" customHeight="1" x14ac:dyDescent="0.3">
      <c r="A160" s="41"/>
      <c r="B160" s="14"/>
      <c r="C160" s="48">
        <v>152</v>
      </c>
      <c r="D160" s="37"/>
      <c r="E160" s="21"/>
      <c r="F160" s="19"/>
      <c r="G160" s="20"/>
      <c r="H160" s="20"/>
      <c r="I160" s="20"/>
      <c r="J160" s="4"/>
      <c r="K160" s="2"/>
      <c r="L160" s="2"/>
    </row>
    <row r="161" spans="1:12" ht="15" customHeight="1" x14ac:dyDescent="0.3">
      <c r="A161" s="41"/>
      <c r="B161" s="14"/>
      <c r="C161" s="48">
        <v>153</v>
      </c>
      <c r="D161" s="37"/>
      <c r="E161" s="21"/>
      <c r="F161" s="19"/>
      <c r="G161" s="20"/>
      <c r="H161" s="20"/>
      <c r="I161" s="20"/>
      <c r="J161" s="4"/>
      <c r="K161" s="2"/>
      <c r="L161" s="2"/>
    </row>
    <row r="162" spans="1:12" ht="15" customHeight="1" x14ac:dyDescent="0.3">
      <c r="A162" s="41"/>
      <c r="B162" s="14"/>
      <c r="C162" s="48">
        <v>154.03</v>
      </c>
      <c r="D162" s="37"/>
      <c r="E162" s="21"/>
      <c r="F162" s="19"/>
      <c r="G162" s="20"/>
      <c r="H162" s="20"/>
      <c r="I162" s="20"/>
      <c r="J162" s="4"/>
      <c r="K162" s="2"/>
      <c r="L162" s="2"/>
    </row>
    <row r="163" spans="1:12" ht="15" customHeight="1" x14ac:dyDescent="0.3">
      <c r="A163" s="41"/>
      <c r="B163" s="14"/>
      <c r="C163" s="48">
        <v>155.06</v>
      </c>
      <c r="D163" s="37"/>
      <c r="E163" s="21"/>
      <c r="F163" s="19"/>
      <c r="G163" s="20"/>
      <c r="H163" s="20"/>
      <c r="I163" s="20"/>
      <c r="J163" s="4"/>
      <c r="K163" s="2"/>
      <c r="L163" s="2"/>
    </row>
    <row r="164" spans="1:12" ht="15" customHeight="1" x14ac:dyDescent="0.3">
      <c r="A164" s="41"/>
      <c r="B164" s="14"/>
      <c r="C164" s="48">
        <v>156.09</v>
      </c>
      <c r="D164" s="37"/>
      <c r="E164" s="21"/>
      <c r="F164" s="19"/>
      <c r="G164" s="20"/>
      <c r="H164" s="20"/>
      <c r="I164" s="20"/>
      <c r="J164" s="4"/>
      <c r="K164" s="2"/>
      <c r="L164" s="2"/>
    </row>
    <row r="165" spans="1:12" ht="15" customHeight="1" x14ac:dyDescent="0.3">
      <c r="A165" s="41"/>
      <c r="B165" s="14"/>
      <c r="C165" s="48">
        <v>157.12</v>
      </c>
      <c r="D165" s="37"/>
      <c r="E165" s="21"/>
      <c r="F165" s="19"/>
      <c r="G165" s="20"/>
      <c r="H165" s="20"/>
      <c r="I165" s="20"/>
      <c r="J165" s="4"/>
      <c r="K165" s="2"/>
      <c r="L165" s="2"/>
    </row>
    <row r="166" spans="1:12" ht="15" customHeight="1" x14ac:dyDescent="0.3">
      <c r="A166" s="41"/>
      <c r="B166" s="14"/>
      <c r="C166" s="48">
        <v>158.15</v>
      </c>
      <c r="D166" s="37"/>
      <c r="E166" s="18"/>
      <c r="F166" s="19"/>
      <c r="G166" s="20"/>
      <c r="H166" s="20"/>
      <c r="I166" s="20"/>
      <c r="J166" s="4"/>
      <c r="K166" s="2"/>
      <c r="L166" s="2"/>
    </row>
    <row r="167" spans="1:12" ht="15" customHeight="1" x14ac:dyDescent="0.3">
      <c r="A167" s="41"/>
      <c r="B167" s="14"/>
      <c r="C167" s="48">
        <v>159.18</v>
      </c>
      <c r="D167" s="37"/>
      <c r="E167" s="21"/>
      <c r="F167" s="19"/>
      <c r="G167" s="20"/>
      <c r="H167" s="20"/>
      <c r="I167" s="20"/>
      <c r="J167" s="4"/>
      <c r="K167" s="2"/>
      <c r="L167" s="2"/>
    </row>
    <row r="168" spans="1:12" ht="15" customHeight="1" x14ac:dyDescent="0.3">
      <c r="A168" s="41"/>
      <c r="B168" s="14"/>
      <c r="C168" s="48">
        <v>160.21</v>
      </c>
      <c r="D168" s="37"/>
      <c r="E168" s="21"/>
      <c r="F168" s="20"/>
      <c r="G168" s="20"/>
      <c r="H168" s="20"/>
      <c r="I168" s="20"/>
      <c r="J168" s="4"/>
      <c r="K168" s="2"/>
      <c r="L168" s="2"/>
    </row>
    <row r="169" spans="1:12" ht="15" customHeight="1" x14ac:dyDescent="0.3">
      <c r="A169" s="41"/>
      <c r="B169" s="14"/>
      <c r="C169" s="48">
        <v>161.24</v>
      </c>
      <c r="D169" s="37"/>
      <c r="E169" s="21"/>
      <c r="F169" s="19"/>
      <c r="G169" s="20"/>
      <c r="H169" s="20"/>
      <c r="I169" s="20"/>
      <c r="J169" s="4"/>
      <c r="K169" s="2"/>
      <c r="L169" s="2"/>
    </row>
    <row r="170" spans="1:12" ht="15" customHeight="1" x14ac:dyDescent="0.3">
      <c r="A170" s="41"/>
      <c r="B170" s="14"/>
      <c r="C170" s="48">
        <v>162.27000000000001</v>
      </c>
      <c r="D170" s="3"/>
      <c r="E170" s="82"/>
      <c r="F170" s="19"/>
      <c r="G170" s="20"/>
      <c r="H170" s="20"/>
      <c r="I170" s="20"/>
      <c r="J170" s="4"/>
      <c r="K170" s="2"/>
      <c r="L170" s="2"/>
    </row>
    <row r="171" spans="1:12" ht="15" customHeight="1" x14ac:dyDescent="0.3">
      <c r="A171" s="41"/>
      <c r="B171" s="14"/>
      <c r="C171" s="48">
        <v>163.30000000000001</v>
      </c>
      <c r="D171" s="37"/>
      <c r="E171" s="21"/>
      <c r="F171" s="19"/>
      <c r="G171" s="20"/>
      <c r="H171" s="20"/>
      <c r="I171" s="20"/>
      <c r="J171" s="4"/>
      <c r="K171" s="2"/>
      <c r="L171" s="2"/>
    </row>
    <row r="172" spans="1:12" ht="15" customHeight="1" x14ac:dyDescent="0.3">
      <c r="A172" s="41"/>
      <c r="B172" s="14"/>
      <c r="C172" s="48">
        <v>164.33</v>
      </c>
      <c r="D172" s="37"/>
      <c r="E172" s="18"/>
      <c r="F172" s="19"/>
      <c r="G172" s="20"/>
      <c r="H172" s="20"/>
      <c r="I172" s="20"/>
      <c r="J172" s="4"/>
      <c r="K172" s="2"/>
      <c r="L172" s="2"/>
    </row>
    <row r="173" spans="1:12" ht="15" customHeight="1" x14ac:dyDescent="0.3">
      <c r="A173" s="41"/>
      <c r="B173" s="14"/>
      <c r="C173" s="48">
        <v>165.36</v>
      </c>
      <c r="D173" s="37"/>
      <c r="E173" s="21"/>
      <c r="F173" s="19"/>
      <c r="G173" s="20"/>
      <c r="H173" s="20"/>
      <c r="I173" s="20"/>
      <c r="J173" s="4"/>
      <c r="K173" s="2"/>
      <c r="L173" s="2"/>
    </row>
    <row r="174" spans="1:12" ht="15" customHeight="1" x14ac:dyDescent="0.3">
      <c r="A174" s="41"/>
      <c r="B174" s="14"/>
      <c r="C174" s="48">
        <v>166.39</v>
      </c>
      <c r="D174" s="15"/>
      <c r="E174" s="18"/>
      <c r="F174" s="19"/>
      <c r="G174" s="20"/>
      <c r="H174" s="20"/>
      <c r="I174" s="20"/>
      <c r="J174" s="4"/>
      <c r="K174" s="2"/>
      <c r="L174" s="2"/>
    </row>
    <row r="175" spans="1:12" ht="15" customHeight="1" x14ac:dyDescent="0.3">
      <c r="A175" s="41"/>
      <c r="B175" s="14"/>
      <c r="C175" s="48">
        <v>167.42</v>
      </c>
      <c r="D175" s="15"/>
      <c r="E175" s="18"/>
      <c r="F175" s="19"/>
      <c r="G175" s="20"/>
      <c r="H175" s="20"/>
      <c r="I175" s="20"/>
      <c r="J175" s="4"/>
      <c r="K175" s="2"/>
      <c r="L175" s="2"/>
    </row>
    <row r="176" spans="1:12" ht="15" customHeight="1" x14ac:dyDescent="0.3">
      <c r="A176" s="41"/>
      <c r="B176" s="14"/>
      <c r="C176" s="48">
        <v>168.45</v>
      </c>
      <c r="D176" s="15"/>
      <c r="E176" s="18"/>
      <c r="F176" s="19"/>
      <c r="G176" s="20"/>
      <c r="H176" s="20"/>
      <c r="I176" s="20"/>
      <c r="J176" s="44"/>
      <c r="K176" s="2"/>
      <c r="L176" s="2"/>
    </row>
    <row r="177" spans="1:246" ht="15" customHeight="1" x14ac:dyDescent="0.3">
      <c r="A177" s="41"/>
      <c r="B177" s="14"/>
      <c r="C177" s="48">
        <v>169.48</v>
      </c>
      <c r="D177" s="15"/>
      <c r="E177" s="18"/>
      <c r="F177" s="19"/>
      <c r="G177" s="20"/>
      <c r="H177" s="20"/>
      <c r="I177" s="20"/>
      <c r="J177" s="44"/>
      <c r="K177" s="2"/>
      <c r="L177" s="2"/>
    </row>
    <row r="178" spans="1:246" ht="15" customHeight="1" x14ac:dyDescent="0.3">
      <c r="A178" s="41"/>
      <c r="B178" s="14"/>
      <c r="C178" s="48">
        <v>170.51</v>
      </c>
      <c r="D178" s="15"/>
      <c r="E178" s="18"/>
      <c r="F178" s="19"/>
      <c r="G178" s="20"/>
      <c r="H178" s="20"/>
      <c r="I178" s="20"/>
      <c r="J178" s="44"/>
      <c r="K178" s="2"/>
      <c r="L178" s="2"/>
    </row>
    <row r="179" spans="1:246" ht="15" customHeight="1" x14ac:dyDescent="0.3">
      <c r="A179" s="41"/>
      <c r="B179" s="14"/>
      <c r="C179" s="48"/>
      <c r="D179" s="37"/>
      <c r="E179" s="18"/>
      <c r="F179" s="19"/>
      <c r="G179" s="20"/>
      <c r="H179" s="20"/>
      <c r="I179" s="20"/>
      <c r="J179" s="44"/>
      <c r="K179" s="2"/>
      <c r="L179" s="2"/>
      <c r="IL179"/>
    </row>
    <row r="180" spans="1:246" ht="15" customHeight="1" x14ac:dyDescent="0.3">
      <c r="A180" s="42"/>
      <c r="B180" s="28" t="s">
        <v>15</v>
      </c>
      <c r="C180" s="49"/>
      <c r="D180" s="29"/>
      <c r="E180" s="30"/>
      <c r="F180" s="31">
        <f>SUM(F3:F179)</f>
        <v>0</v>
      </c>
      <c r="G180" s="32">
        <f>SUM(G3:G179)</f>
        <v>-5504.979999999995</v>
      </c>
      <c r="H180" s="32">
        <f>SUM(H3:H179)</f>
        <v>0</v>
      </c>
      <c r="I180" s="32">
        <f>SUM(I3:I179)</f>
        <v>-4882.71</v>
      </c>
      <c r="J180" s="2"/>
      <c r="K180" s="2"/>
      <c r="L180" s="2"/>
    </row>
    <row r="181" spans="1:246" ht="15" customHeight="1" x14ac:dyDescent="0.3">
      <c r="A181" s="42"/>
      <c r="B181" s="17"/>
      <c r="C181" s="17"/>
      <c r="D181" s="17"/>
      <c r="E181" s="17"/>
      <c r="F181" s="17"/>
      <c r="G181" s="17"/>
      <c r="H181" s="17"/>
      <c r="I181" s="17"/>
      <c r="J181" s="2"/>
      <c r="K181" s="2"/>
      <c r="L181" s="2"/>
    </row>
    <row r="182" spans="1:246" ht="15" customHeight="1" x14ac:dyDescent="0.3">
      <c r="A182" s="42"/>
      <c r="B182" s="17"/>
      <c r="C182" s="17"/>
      <c r="D182" s="17"/>
      <c r="E182" s="17"/>
      <c r="F182" s="17"/>
      <c r="G182" s="17"/>
      <c r="H182" s="17"/>
      <c r="I182" s="17"/>
      <c r="J182" s="2"/>
      <c r="K182" s="2"/>
      <c r="L182" s="2"/>
    </row>
    <row r="183" spans="1:246" ht="15" customHeight="1" x14ac:dyDescent="0.3">
      <c r="A183" s="42"/>
      <c r="B183" s="17"/>
      <c r="C183" s="17"/>
      <c r="D183" s="17"/>
      <c r="E183" s="17"/>
      <c r="F183" s="17"/>
      <c r="G183" s="17"/>
      <c r="H183" s="17"/>
      <c r="I183" s="17"/>
      <c r="J183" s="2"/>
      <c r="K183" s="2"/>
      <c r="L183" s="2"/>
    </row>
    <row r="184" spans="1:246" ht="15" customHeight="1" x14ac:dyDescent="0.3">
      <c r="A184" s="42"/>
      <c r="B184" s="17"/>
      <c r="C184" s="17"/>
      <c r="D184" s="17"/>
      <c r="E184" s="17"/>
      <c r="F184" s="17"/>
      <c r="G184" s="17"/>
      <c r="H184" s="17"/>
      <c r="I184" s="17"/>
      <c r="J184" s="2"/>
      <c r="K184" s="2"/>
      <c r="L184" s="2"/>
    </row>
    <row r="185" spans="1:246" ht="15" customHeight="1" x14ac:dyDescent="0.3">
      <c r="A185" s="42"/>
      <c r="B185" s="17"/>
      <c r="C185" s="17"/>
      <c r="D185" s="17"/>
      <c r="E185" s="17"/>
      <c r="F185" s="17"/>
      <c r="G185" s="17"/>
      <c r="H185" s="17"/>
      <c r="I185" s="17"/>
      <c r="J185" s="2"/>
      <c r="K185" s="2"/>
      <c r="L185" s="2"/>
    </row>
    <row r="186" spans="1:246" ht="15" customHeight="1" x14ac:dyDescent="0.3">
      <c r="A186" s="42"/>
      <c r="B186" s="17"/>
      <c r="C186" s="17"/>
      <c r="D186" s="17"/>
      <c r="E186" s="17"/>
      <c r="F186" s="17"/>
      <c r="G186" s="17"/>
      <c r="H186" s="17"/>
      <c r="I186" s="17"/>
      <c r="J186" s="2"/>
      <c r="K186" s="2"/>
      <c r="L186" s="2"/>
    </row>
    <row r="187" spans="1:246" ht="15" customHeight="1" x14ac:dyDescent="0.3">
      <c r="A187" s="42"/>
      <c r="B187" s="17"/>
      <c r="C187" s="17"/>
      <c r="D187" s="17"/>
      <c r="E187" s="17"/>
      <c r="F187" s="17"/>
      <c r="G187" s="17"/>
      <c r="H187" s="17"/>
      <c r="I187" s="17"/>
      <c r="J187" s="2"/>
      <c r="K187" s="2"/>
      <c r="L187" s="2"/>
    </row>
    <row r="188" spans="1:246" ht="15" customHeight="1" x14ac:dyDescent="0.3">
      <c r="A188" s="42"/>
      <c r="B188" s="17"/>
      <c r="C188" s="17"/>
      <c r="D188" s="17"/>
      <c r="E188" s="17"/>
      <c r="F188" s="17"/>
      <c r="G188" s="17"/>
      <c r="H188" s="17"/>
      <c r="I188" s="17"/>
      <c r="J188" s="2"/>
      <c r="K188" s="2"/>
      <c r="L188" s="2"/>
    </row>
    <row r="189" spans="1:246" ht="15" customHeight="1" x14ac:dyDescent="0.3">
      <c r="A189" s="42"/>
      <c r="B189" s="17"/>
      <c r="C189" s="17"/>
      <c r="D189" s="17"/>
      <c r="E189" s="17"/>
      <c r="F189" s="17"/>
      <c r="G189" s="17"/>
      <c r="H189" s="17"/>
      <c r="I189" s="17"/>
      <c r="J189" s="2"/>
      <c r="K189" s="2"/>
      <c r="L189" s="2"/>
    </row>
    <row r="190" spans="1:246" ht="15" customHeight="1" x14ac:dyDescent="0.3">
      <c r="A190" s="42"/>
      <c r="B190" s="17"/>
      <c r="C190" s="17"/>
      <c r="D190" s="17"/>
      <c r="E190" s="17"/>
      <c r="F190" s="17"/>
      <c r="G190" s="17"/>
      <c r="H190" s="17"/>
      <c r="I190" s="17"/>
      <c r="J190" s="2"/>
      <c r="K190" s="2"/>
      <c r="L190" s="2"/>
    </row>
    <row r="191" spans="1:246" ht="15" customHeight="1" x14ac:dyDescent="0.3">
      <c r="A191" s="42"/>
      <c r="B191" s="17"/>
      <c r="C191" s="17"/>
      <c r="D191" s="17"/>
      <c r="E191" s="17"/>
      <c r="F191" s="17"/>
      <c r="G191" s="17"/>
      <c r="H191" s="17"/>
      <c r="I191" s="17"/>
      <c r="J191" s="2"/>
      <c r="K191" s="2"/>
      <c r="L191" s="2"/>
    </row>
    <row r="192" spans="1:246" ht="15" customHeight="1" x14ac:dyDescent="0.3">
      <c r="A192" s="42"/>
      <c r="B192" s="17"/>
      <c r="C192" s="17"/>
      <c r="D192" s="17"/>
      <c r="E192" s="17"/>
      <c r="F192" s="17"/>
      <c r="G192" s="17"/>
      <c r="H192" s="17"/>
      <c r="I192" s="17"/>
      <c r="J192" s="2"/>
      <c r="K192" s="2"/>
      <c r="L192" s="2"/>
    </row>
    <row r="193" spans="1:12" ht="15" customHeight="1" x14ac:dyDescent="0.3">
      <c r="A193" s="42"/>
      <c r="B193" s="17"/>
      <c r="C193" s="17"/>
      <c r="D193" s="17"/>
      <c r="E193" s="17"/>
      <c r="F193" s="17"/>
      <c r="G193" s="17"/>
      <c r="H193" s="17"/>
      <c r="I193" s="17"/>
      <c r="J193" s="2"/>
      <c r="K193" s="2"/>
      <c r="L193" s="2"/>
    </row>
    <row r="194" spans="1:12" ht="15" customHeight="1" x14ac:dyDescent="0.3">
      <c r="A194" s="42"/>
      <c r="B194" s="17"/>
      <c r="C194" s="17"/>
      <c r="D194" s="17"/>
      <c r="E194" s="17"/>
      <c r="F194" s="17"/>
      <c r="G194" s="17"/>
      <c r="H194" s="17"/>
      <c r="I194" s="17"/>
      <c r="J194" s="2"/>
      <c r="K194" s="2"/>
      <c r="L194" s="2"/>
    </row>
    <row r="195" spans="1:12" ht="15" customHeight="1" x14ac:dyDescent="0.3">
      <c r="A195" s="42"/>
      <c r="B195" s="17"/>
      <c r="C195" s="17"/>
      <c r="D195" s="17"/>
      <c r="E195" s="17"/>
      <c r="F195" s="17"/>
      <c r="G195" s="17"/>
      <c r="H195" s="17"/>
      <c r="I195" s="17"/>
      <c r="J195" s="2"/>
      <c r="K195" s="2"/>
      <c r="L195" s="2"/>
    </row>
    <row r="196" spans="1:12" ht="15" customHeight="1" x14ac:dyDescent="0.3">
      <c r="A196" s="42"/>
      <c r="B196" s="17"/>
      <c r="C196" s="17"/>
      <c r="D196" s="17"/>
      <c r="E196" s="17"/>
      <c r="F196" s="17"/>
      <c r="G196" s="17"/>
      <c r="H196" s="17"/>
      <c r="I196" s="17"/>
      <c r="J196" s="2"/>
      <c r="K196" s="2"/>
      <c r="L196" s="2"/>
    </row>
    <row r="197" spans="1:12" ht="15" customHeight="1" x14ac:dyDescent="0.3">
      <c r="A197" s="42"/>
      <c r="B197" s="17"/>
      <c r="C197" s="17"/>
      <c r="D197" s="17"/>
      <c r="E197" s="17"/>
      <c r="F197" s="17"/>
      <c r="G197" s="17"/>
      <c r="H197" s="17"/>
      <c r="I197" s="17"/>
      <c r="J197" s="2"/>
      <c r="K197" s="2"/>
      <c r="L197" s="2"/>
    </row>
    <row r="198" spans="1:12" ht="15" customHeight="1" x14ac:dyDescent="0.3">
      <c r="A198" s="42"/>
      <c r="B198" s="17"/>
      <c r="C198" s="17"/>
      <c r="D198" s="17"/>
      <c r="E198" s="17"/>
      <c r="F198" s="17"/>
      <c r="G198" s="17"/>
      <c r="H198" s="17"/>
      <c r="I198" s="17"/>
      <c r="J198" s="2"/>
      <c r="K198" s="2"/>
      <c r="L198" s="2"/>
    </row>
    <row r="199" spans="1:12" ht="15" customHeight="1" x14ac:dyDescent="0.3">
      <c r="A199" s="42"/>
      <c r="B199" s="17"/>
      <c r="C199" s="17"/>
      <c r="D199" s="17"/>
      <c r="E199" s="17"/>
      <c r="F199" s="17"/>
      <c r="G199" s="17"/>
      <c r="H199" s="17"/>
      <c r="I199" s="17"/>
      <c r="J199" s="2"/>
      <c r="K199" s="2"/>
      <c r="L199" s="2"/>
    </row>
    <row r="200" spans="1:12" ht="15" customHeight="1" x14ac:dyDescent="0.3">
      <c r="A200" s="42"/>
      <c r="B200" s="17"/>
      <c r="C200" s="17"/>
      <c r="D200" s="17"/>
      <c r="E200" s="17"/>
      <c r="F200" s="17"/>
      <c r="G200" s="17"/>
      <c r="H200" s="17"/>
      <c r="I200" s="17"/>
      <c r="J200" s="2"/>
      <c r="K200" s="2"/>
      <c r="L200" s="2"/>
    </row>
    <row r="201" spans="1:12" ht="15" customHeight="1" x14ac:dyDescent="0.3">
      <c r="A201" s="42"/>
      <c r="B201" s="17"/>
      <c r="C201" s="17"/>
      <c r="D201" s="17"/>
      <c r="E201" s="17"/>
      <c r="F201" s="17"/>
      <c r="G201" s="17"/>
      <c r="H201" s="17"/>
      <c r="I201" s="17"/>
      <c r="J201" s="2"/>
      <c r="K201" s="2"/>
      <c r="L201" s="2"/>
    </row>
    <row r="202" spans="1:12" ht="15" customHeight="1" x14ac:dyDescent="0.3">
      <c r="A202" s="42"/>
      <c r="B202" s="17"/>
      <c r="C202" s="17"/>
      <c r="D202" s="17"/>
      <c r="E202" s="17"/>
      <c r="F202" s="17"/>
      <c r="G202" s="17"/>
      <c r="H202" s="17"/>
      <c r="I202" s="17"/>
      <c r="J202" s="2"/>
      <c r="K202" s="2"/>
      <c r="L202" s="2"/>
    </row>
    <row r="203" spans="1:12" ht="15" customHeight="1" x14ac:dyDescent="0.3">
      <c r="A203" s="42"/>
      <c r="B203" s="17"/>
      <c r="C203" s="17"/>
      <c r="D203" s="17"/>
      <c r="E203" s="17"/>
      <c r="F203" s="17"/>
      <c r="G203" s="17"/>
      <c r="H203" s="17"/>
      <c r="I203" s="17"/>
      <c r="J203" s="2"/>
      <c r="K203" s="2"/>
      <c r="L203" s="2"/>
    </row>
    <row r="204" spans="1:12" ht="15" customHeight="1" x14ac:dyDescent="0.3">
      <c r="A204" s="42"/>
      <c r="B204" s="17"/>
      <c r="C204" s="17"/>
      <c r="D204" s="17"/>
      <c r="E204" s="17"/>
      <c r="F204" s="17"/>
      <c r="G204" s="17"/>
      <c r="H204" s="17"/>
      <c r="I204" s="17"/>
      <c r="J204" s="2"/>
      <c r="K204" s="2"/>
      <c r="L204" s="2"/>
    </row>
    <row r="205" spans="1:12" ht="15" customHeight="1" x14ac:dyDescent="0.3">
      <c r="A205" s="42"/>
      <c r="B205" s="17"/>
      <c r="C205" s="17"/>
      <c r="D205" s="17"/>
      <c r="E205" s="17"/>
      <c r="F205" s="17"/>
      <c r="G205" s="17"/>
      <c r="H205" s="17"/>
      <c r="I205" s="17"/>
      <c r="J205" s="2"/>
      <c r="K205" s="2"/>
      <c r="L205" s="2"/>
    </row>
    <row r="206" spans="1:12" ht="15" customHeight="1" x14ac:dyDescent="0.3">
      <c r="A206" s="42"/>
      <c r="B206" s="17"/>
      <c r="C206" s="17"/>
      <c r="D206" s="17"/>
      <c r="E206" s="17"/>
      <c r="F206" s="17"/>
      <c r="G206" s="17"/>
      <c r="H206" s="17"/>
      <c r="I206" s="17"/>
      <c r="J206" s="2"/>
      <c r="K206" s="2"/>
      <c r="L206" s="2"/>
    </row>
    <row r="207" spans="1:12" ht="15" customHeight="1" x14ac:dyDescent="0.3">
      <c r="A207" s="42"/>
      <c r="B207" s="17"/>
      <c r="C207" s="17"/>
      <c r="D207" s="17"/>
      <c r="E207" s="17"/>
      <c r="F207" s="17"/>
      <c r="G207" s="17"/>
      <c r="H207" s="17"/>
      <c r="I207" s="17"/>
      <c r="J207" s="2"/>
      <c r="K207" s="2"/>
      <c r="L207" s="2"/>
    </row>
    <row r="208" spans="1:12" ht="15" customHeight="1" x14ac:dyDescent="0.3">
      <c r="A208" s="42"/>
      <c r="B208" s="17"/>
      <c r="C208" s="17"/>
      <c r="D208" s="17"/>
      <c r="E208" s="17"/>
      <c r="F208" s="17"/>
      <c r="G208" s="17"/>
      <c r="H208" s="17"/>
      <c r="I208" s="17"/>
      <c r="J208" s="2"/>
      <c r="K208" s="2"/>
      <c r="L208" s="2"/>
    </row>
    <row r="209" spans="1:12" ht="15" customHeight="1" x14ac:dyDescent="0.3">
      <c r="A209" s="42"/>
      <c r="B209" s="17"/>
      <c r="C209" s="17"/>
      <c r="D209" s="17"/>
      <c r="E209" s="17"/>
      <c r="F209" s="17"/>
      <c r="G209" s="17"/>
      <c r="H209" s="17"/>
      <c r="I209" s="17"/>
      <c r="J209" s="2"/>
      <c r="K209" s="2"/>
      <c r="L209" s="2"/>
    </row>
    <row r="210" spans="1:12" ht="15" customHeight="1" x14ac:dyDescent="0.3">
      <c r="A210" s="42"/>
      <c r="B210" s="17"/>
      <c r="C210" s="17"/>
      <c r="D210" s="17"/>
      <c r="E210" s="17"/>
      <c r="F210" s="17"/>
      <c r="G210" s="17"/>
      <c r="H210" s="17"/>
      <c r="I210" s="17"/>
      <c r="J210" s="2"/>
      <c r="K210" s="2"/>
      <c r="L210" s="2"/>
    </row>
    <row r="211" spans="1:12" ht="15" customHeight="1" x14ac:dyDescent="0.3">
      <c r="A211" s="42"/>
      <c r="B211" s="17"/>
      <c r="C211" s="17"/>
      <c r="D211" s="17"/>
      <c r="E211" s="17"/>
      <c r="F211" s="17"/>
      <c r="G211" s="17"/>
      <c r="H211" s="17"/>
      <c r="I211" s="17"/>
      <c r="J211" s="2"/>
      <c r="K211" s="2"/>
      <c r="L211" s="2"/>
    </row>
    <row r="212" spans="1:12" ht="15" customHeight="1" x14ac:dyDescent="0.3">
      <c r="A212" s="42"/>
      <c r="B212" s="17"/>
      <c r="C212" s="17"/>
      <c r="D212" s="17"/>
      <c r="E212" s="17"/>
      <c r="F212" s="17"/>
      <c r="G212" s="17"/>
      <c r="H212" s="17"/>
      <c r="I212" s="17"/>
      <c r="J212" s="2"/>
      <c r="K212" s="2"/>
      <c r="L212" s="2"/>
    </row>
    <row r="213" spans="1:12" ht="15" customHeight="1" x14ac:dyDescent="0.3">
      <c r="A213" s="42"/>
      <c r="B213" s="17"/>
      <c r="C213" s="17"/>
      <c r="D213" s="17"/>
      <c r="E213" s="17"/>
      <c r="F213" s="17"/>
      <c r="G213" s="17"/>
      <c r="H213" s="17"/>
      <c r="I213" s="17"/>
      <c r="J213" s="2"/>
      <c r="K213" s="2"/>
      <c r="L213" s="2"/>
    </row>
    <row r="214" spans="1:12" ht="15" customHeight="1" x14ac:dyDescent="0.3">
      <c r="A214" s="42"/>
      <c r="B214" s="17"/>
      <c r="C214" s="17"/>
      <c r="D214" s="17"/>
      <c r="E214" s="17"/>
      <c r="F214" s="17"/>
      <c r="G214" s="17"/>
      <c r="H214" s="17"/>
      <c r="I214" s="17"/>
      <c r="J214" s="2"/>
      <c r="K214" s="2"/>
      <c r="L214" s="2"/>
    </row>
    <row r="215" spans="1:12" ht="15" customHeight="1" x14ac:dyDescent="0.3">
      <c r="A215" s="42"/>
      <c r="B215" s="17"/>
      <c r="C215" s="17"/>
      <c r="D215" s="17"/>
      <c r="E215" s="17"/>
      <c r="F215" s="17"/>
      <c r="G215" s="17"/>
      <c r="H215" s="17"/>
      <c r="I215" s="17"/>
      <c r="J215" s="2"/>
      <c r="K215" s="2"/>
      <c r="L215" s="2"/>
    </row>
    <row r="216" spans="1:12" ht="15" customHeight="1" x14ac:dyDescent="0.3">
      <c r="A216" s="42"/>
      <c r="B216" s="17"/>
      <c r="C216" s="17"/>
      <c r="D216" s="17"/>
      <c r="E216" s="17"/>
      <c r="F216" s="17"/>
      <c r="G216" s="17"/>
      <c r="H216" s="17"/>
      <c r="I216" s="17"/>
      <c r="J216" s="2"/>
      <c r="K216" s="2"/>
      <c r="L216" s="2"/>
    </row>
    <row r="217" spans="1:12" ht="15" customHeight="1" x14ac:dyDescent="0.3">
      <c r="A217" s="42"/>
      <c r="B217" s="17"/>
      <c r="C217" s="17"/>
      <c r="D217" s="17"/>
      <c r="E217" s="17"/>
      <c r="F217" s="17"/>
      <c r="G217" s="17"/>
      <c r="H217" s="17"/>
      <c r="I217" s="17"/>
      <c r="J217" s="2"/>
      <c r="K217" s="2"/>
      <c r="L217" s="2"/>
    </row>
    <row r="218" spans="1:12" ht="15" customHeight="1" x14ac:dyDescent="0.3">
      <c r="A218" s="42"/>
      <c r="B218" s="17"/>
      <c r="C218" s="17"/>
      <c r="D218" s="17"/>
      <c r="E218" s="17"/>
      <c r="F218" s="17"/>
      <c r="G218" s="17"/>
      <c r="H218" s="17"/>
      <c r="I218" s="17"/>
      <c r="J218" s="2"/>
      <c r="K218" s="2"/>
      <c r="L218" s="2"/>
    </row>
    <row r="219" spans="1:12" ht="15" customHeight="1" x14ac:dyDescent="0.3">
      <c r="A219" s="42"/>
      <c r="B219" s="17"/>
      <c r="C219" s="17"/>
      <c r="D219" s="17"/>
      <c r="E219" s="17"/>
      <c r="F219" s="17"/>
      <c r="G219" s="17"/>
      <c r="H219" s="17"/>
      <c r="I219" s="17"/>
      <c r="J219" s="2"/>
      <c r="K219" s="2"/>
      <c r="L219" s="2"/>
    </row>
    <row r="220" spans="1:12" ht="15" customHeight="1" x14ac:dyDescent="0.3">
      <c r="A220" s="42"/>
      <c r="B220" s="17"/>
      <c r="C220" s="17"/>
      <c r="D220" s="17"/>
      <c r="E220" s="17"/>
      <c r="F220" s="17"/>
      <c r="G220" s="17"/>
      <c r="H220" s="17"/>
      <c r="I220" s="17"/>
      <c r="J220" s="2"/>
      <c r="K220" s="2"/>
      <c r="L220" s="2"/>
    </row>
    <row r="221" spans="1:12" ht="15" customHeight="1" x14ac:dyDescent="0.3">
      <c r="A221" s="42"/>
      <c r="B221" s="17"/>
      <c r="C221" s="17"/>
      <c r="D221" s="17"/>
      <c r="E221" s="17"/>
      <c r="F221" s="17"/>
      <c r="G221" s="17"/>
      <c r="H221" s="17"/>
      <c r="I221" s="17"/>
      <c r="J221" s="2"/>
      <c r="K221" s="2"/>
      <c r="L221" s="2"/>
    </row>
    <row r="222" spans="1:12" ht="15" customHeight="1" x14ac:dyDescent="0.3">
      <c r="A222" s="42"/>
      <c r="B222" s="17"/>
      <c r="C222" s="17"/>
      <c r="D222" s="17"/>
      <c r="E222" s="17"/>
      <c r="F222" s="17"/>
      <c r="G222" s="17"/>
      <c r="H222" s="17"/>
      <c r="I222" s="17"/>
      <c r="J222" s="2"/>
      <c r="K222" s="2"/>
      <c r="L222" s="2"/>
    </row>
    <row r="223" spans="1:12" ht="15" customHeight="1" x14ac:dyDescent="0.3">
      <c r="A223" s="42"/>
      <c r="B223" s="17"/>
      <c r="C223" s="17"/>
      <c r="D223" s="17"/>
      <c r="E223" s="17"/>
      <c r="F223" s="17"/>
      <c r="G223" s="17"/>
      <c r="H223" s="17"/>
      <c r="I223" s="17"/>
      <c r="J223" s="2"/>
      <c r="K223" s="2"/>
      <c r="L223" s="2"/>
    </row>
    <row r="224" spans="1:12" ht="15" customHeight="1" x14ac:dyDescent="0.3">
      <c r="A224" s="42"/>
      <c r="B224" s="17"/>
      <c r="C224" s="17"/>
      <c r="D224" s="17"/>
      <c r="E224" s="17"/>
      <c r="F224" s="17"/>
      <c r="G224" s="17"/>
      <c r="H224" s="17"/>
      <c r="I224" s="17"/>
      <c r="J224" s="2"/>
      <c r="K224" s="2"/>
      <c r="L224" s="2"/>
    </row>
    <row r="225" spans="1:12" ht="15" customHeight="1" x14ac:dyDescent="0.3">
      <c r="A225" s="42"/>
      <c r="B225" s="17"/>
      <c r="C225" s="17"/>
      <c r="D225" s="17"/>
      <c r="E225" s="17"/>
      <c r="F225" s="17"/>
      <c r="G225" s="17"/>
      <c r="H225" s="17"/>
      <c r="I225" s="17"/>
      <c r="J225" s="2"/>
      <c r="K225" s="2"/>
      <c r="L225" s="2"/>
    </row>
    <row r="226" spans="1:12" ht="15" customHeight="1" x14ac:dyDescent="0.3">
      <c r="A226" s="42"/>
      <c r="B226" s="17"/>
      <c r="C226" s="17"/>
      <c r="D226" s="17"/>
      <c r="E226" s="17"/>
      <c r="F226" s="17"/>
      <c r="G226" s="17"/>
      <c r="H226" s="17"/>
      <c r="I226" s="17"/>
      <c r="J226" s="2"/>
      <c r="K226" s="2"/>
      <c r="L226" s="2"/>
    </row>
    <row r="227" spans="1:12" ht="15" customHeight="1" x14ac:dyDescent="0.3">
      <c r="A227" s="42"/>
      <c r="B227" s="17"/>
      <c r="C227" s="17"/>
      <c r="D227" s="17"/>
      <c r="E227" s="17"/>
      <c r="F227" s="17"/>
      <c r="G227" s="17"/>
      <c r="H227" s="17"/>
      <c r="I227" s="17"/>
      <c r="J227" s="2"/>
      <c r="K227" s="2"/>
      <c r="L227" s="2"/>
    </row>
    <row r="228" spans="1:12" ht="15" customHeight="1" x14ac:dyDescent="0.3">
      <c r="A228" s="42"/>
      <c r="B228" s="17"/>
      <c r="C228" s="17"/>
      <c r="D228" s="17"/>
      <c r="E228" s="17"/>
      <c r="F228" s="17"/>
      <c r="G228" s="17"/>
      <c r="H228" s="17"/>
      <c r="I228" s="17"/>
      <c r="J228" s="2"/>
      <c r="K228" s="2"/>
      <c r="L228" s="2"/>
    </row>
    <row r="229" spans="1:12" ht="15" customHeight="1" x14ac:dyDescent="0.3">
      <c r="A229" s="42"/>
      <c r="B229" s="17"/>
      <c r="C229" s="17"/>
      <c r="D229" s="17"/>
      <c r="E229" s="17"/>
      <c r="F229" s="17"/>
      <c r="G229" s="17"/>
      <c r="H229" s="17"/>
      <c r="I229" s="17"/>
      <c r="J229" s="2"/>
      <c r="K229" s="2"/>
      <c r="L229" s="2"/>
    </row>
    <row r="230" spans="1:12" ht="15" customHeight="1" x14ac:dyDescent="0.3">
      <c r="A230" s="42"/>
      <c r="B230" s="17"/>
      <c r="C230" s="17"/>
      <c r="D230" s="17"/>
      <c r="E230" s="17"/>
      <c r="F230" s="17"/>
      <c r="G230" s="17"/>
      <c r="H230" s="17"/>
      <c r="I230" s="17"/>
      <c r="J230" s="2"/>
      <c r="K230" s="2"/>
      <c r="L230" s="2"/>
    </row>
    <row r="231" spans="1:12" ht="15" customHeight="1" x14ac:dyDescent="0.3">
      <c r="A231" s="42"/>
      <c r="B231" s="17"/>
      <c r="C231" s="17"/>
      <c r="D231" s="17"/>
      <c r="E231" s="17"/>
      <c r="F231" s="17"/>
      <c r="G231" s="17"/>
      <c r="H231" s="17"/>
      <c r="I231" s="17"/>
      <c r="J231" s="2"/>
      <c r="K231" s="2"/>
      <c r="L231" s="2"/>
    </row>
    <row r="232" spans="1:12" ht="15" customHeight="1" x14ac:dyDescent="0.3">
      <c r="A232" s="42"/>
      <c r="B232" s="17"/>
      <c r="C232" s="17"/>
      <c r="D232" s="17"/>
      <c r="E232" s="17"/>
      <c r="F232" s="17"/>
      <c r="G232" s="17"/>
      <c r="H232" s="17"/>
      <c r="I232" s="17"/>
      <c r="J232" s="2"/>
      <c r="K232" s="2"/>
      <c r="L232" s="2"/>
    </row>
    <row r="233" spans="1:12" ht="15" customHeight="1" x14ac:dyDescent="0.3">
      <c r="A233" s="42"/>
      <c r="B233" s="17"/>
      <c r="C233" s="17"/>
      <c r="D233" s="17"/>
      <c r="E233" s="17"/>
      <c r="F233" s="17"/>
      <c r="G233" s="17"/>
      <c r="H233" s="17"/>
      <c r="I233" s="17"/>
      <c r="J233" s="2"/>
      <c r="K233" s="2"/>
      <c r="L233" s="2"/>
    </row>
    <row r="234" spans="1:12" ht="15" customHeight="1" x14ac:dyDescent="0.3">
      <c r="A234" s="42"/>
      <c r="B234" s="17"/>
      <c r="C234" s="17"/>
      <c r="D234" s="17"/>
      <c r="E234" s="17"/>
      <c r="F234" s="17"/>
      <c r="G234" s="17"/>
      <c r="H234" s="17"/>
      <c r="I234" s="17"/>
      <c r="J234" s="2"/>
      <c r="K234" s="2"/>
      <c r="L234" s="2"/>
    </row>
    <row r="235" spans="1:12" ht="15" customHeight="1" x14ac:dyDescent="0.3">
      <c r="A235" s="42"/>
      <c r="B235" s="17"/>
      <c r="C235" s="17"/>
      <c r="D235" s="17"/>
      <c r="E235" s="17"/>
      <c r="F235" s="17"/>
      <c r="G235" s="17"/>
      <c r="H235" s="17"/>
      <c r="I235" s="17"/>
      <c r="J235" s="2"/>
      <c r="K235" s="2"/>
      <c r="L235" s="2"/>
    </row>
    <row r="236" spans="1:12" ht="15" customHeight="1" x14ac:dyDescent="0.3">
      <c r="A236" s="42"/>
      <c r="B236" s="17"/>
      <c r="C236" s="17"/>
      <c r="D236" s="17"/>
      <c r="E236" s="17"/>
      <c r="F236" s="17"/>
      <c r="G236" s="17"/>
      <c r="H236" s="17"/>
      <c r="I236" s="17"/>
      <c r="J236" s="2"/>
      <c r="K236" s="2"/>
      <c r="L236" s="2"/>
    </row>
    <row r="237" spans="1:12" ht="15" customHeight="1" x14ac:dyDescent="0.3">
      <c r="A237" s="42"/>
      <c r="B237" s="17"/>
      <c r="C237" s="17"/>
      <c r="D237" s="17"/>
      <c r="E237" s="17"/>
      <c r="F237" s="17"/>
      <c r="G237" s="17"/>
      <c r="H237" s="17"/>
      <c r="I237" s="17"/>
      <c r="J237" s="2"/>
      <c r="K237" s="2"/>
      <c r="L237" s="2"/>
    </row>
    <row r="238" spans="1:12" ht="15" customHeight="1" x14ac:dyDescent="0.3">
      <c r="A238" s="42"/>
      <c r="B238" s="17"/>
      <c r="C238" s="17"/>
      <c r="D238" s="17"/>
      <c r="E238" s="17"/>
      <c r="F238" s="17"/>
      <c r="G238" s="17"/>
      <c r="H238" s="17"/>
      <c r="I238" s="17"/>
      <c r="J238" s="2"/>
      <c r="K238" s="2"/>
      <c r="L238" s="2"/>
    </row>
    <row r="239" spans="1:12" ht="15" customHeight="1" x14ac:dyDescent="0.3">
      <c r="A239" s="42"/>
      <c r="B239" s="17"/>
      <c r="C239" s="17"/>
      <c r="D239" s="17"/>
      <c r="E239" s="17"/>
      <c r="F239" s="17"/>
      <c r="G239" s="17"/>
      <c r="H239" s="17"/>
      <c r="I239" s="17"/>
      <c r="J239" s="2"/>
      <c r="K239" s="2"/>
      <c r="L239" s="2"/>
    </row>
    <row r="240" spans="1:12" ht="15" customHeight="1" x14ac:dyDescent="0.3">
      <c r="A240" s="42"/>
      <c r="B240" s="17"/>
      <c r="C240" s="17"/>
      <c r="D240" s="17"/>
      <c r="E240" s="17"/>
      <c r="F240" s="17"/>
      <c r="G240" s="17"/>
      <c r="H240" s="17"/>
      <c r="I240" s="17"/>
      <c r="J240" s="2"/>
      <c r="K240" s="2"/>
      <c r="L240" s="2"/>
    </row>
    <row r="241" spans="1:12" ht="15" customHeight="1" x14ac:dyDescent="0.3">
      <c r="A241" s="42"/>
      <c r="B241" s="17"/>
      <c r="C241" s="17"/>
      <c r="D241" s="17"/>
      <c r="E241" s="17"/>
      <c r="F241" s="17"/>
      <c r="G241" s="17"/>
      <c r="H241" s="17"/>
      <c r="I241" s="17"/>
      <c r="J241" s="2"/>
      <c r="K241" s="2"/>
      <c r="L241" s="2"/>
    </row>
    <row r="242" spans="1:12" ht="15" customHeight="1" x14ac:dyDescent="0.3">
      <c r="A242" s="42"/>
      <c r="B242" s="17"/>
      <c r="C242" s="17"/>
      <c r="D242" s="17"/>
      <c r="E242" s="17"/>
      <c r="F242" s="17"/>
      <c r="G242" s="17"/>
      <c r="H242" s="17"/>
      <c r="I242" s="17"/>
      <c r="J242" s="2"/>
      <c r="K242" s="2"/>
      <c r="L242" s="2"/>
    </row>
    <row r="243" spans="1:12" ht="15" customHeight="1" x14ac:dyDescent="0.3">
      <c r="A243" s="42"/>
      <c r="B243" s="17"/>
      <c r="C243" s="17"/>
      <c r="D243" s="17"/>
      <c r="E243" s="17"/>
      <c r="F243" s="17"/>
      <c r="G243" s="17"/>
      <c r="H243" s="17"/>
      <c r="I243" s="17"/>
      <c r="J243" s="2"/>
      <c r="K243" s="2"/>
    </row>
    <row r="244" spans="1:12" ht="15" customHeight="1" x14ac:dyDescent="0.3">
      <c r="A244" s="42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2" ht="15" customHeight="1" x14ac:dyDescent="0.3">
      <c r="B245" s="17"/>
      <c r="C245" s="17"/>
      <c r="I245" s="17"/>
    </row>
    <row r="246" spans="1:12" ht="15" customHeight="1" x14ac:dyDescent="0.3">
      <c r="B246" s="17"/>
      <c r="I246" s="17"/>
    </row>
  </sheetData>
  <autoFilter ref="B2:J175" xr:uid="{00000000-0009-0000-0000-000001000000}"/>
  <mergeCells count="1">
    <mergeCell ref="B1:I1"/>
  </mergeCells>
  <conditionalFormatting sqref="A3:A244 E33 E135:E146">
    <cfRule type="cellIs" dxfId="34" priority="502" stopIfTrue="1" operator="lessThan">
      <formula>0</formula>
    </cfRule>
  </conditionalFormatting>
  <conditionalFormatting sqref="B132:B144">
    <cfRule type="cellIs" dxfId="33" priority="485" stopIfTrue="1" operator="lessThan">
      <formula>0</formula>
    </cfRule>
  </conditionalFormatting>
  <conditionalFormatting sqref="B158:B246">
    <cfRule type="cellIs" dxfId="32" priority="42" stopIfTrue="1" operator="lessThan">
      <formula>0</formula>
    </cfRule>
  </conditionalFormatting>
  <conditionalFormatting sqref="C157 C159 C161 C163 C165 C167 C169 C175 C177">
    <cfRule type="cellIs" dxfId="31" priority="43" stopIfTrue="1" operator="lessThan">
      <formula>0</formula>
    </cfRule>
  </conditionalFormatting>
  <conditionalFormatting sqref="C179:C245 J181 I181:I246">
    <cfRule type="cellIs" dxfId="30" priority="732" stopIfTrue="1" operator="lessThan">
      <formula>0</formula>
    </cfRule>
  </conditionalFormatting>
  <conditionalFormatting sqref="D134">
    <cfRule type="cellIs" dxfId="29" priority="500" stopIfTrue="1" operator="lessThan">
      <formula>0</formula>
    </cfRule>
  </conditionalFormatting>
  <conditionalFormatting sqref="D151">
    <cfRule type="cellIs" dxfId="28" priority="87" stopIfTrue="1" operator="lessThan">
      <formula>0</formula>
    </cfRule>
  </conditionalFormatting>
  <conditionalFormatting sqref="D155:D156">
    <cfRule type="cellIs" dxfId="27" priority="471" stopIfTrue="1" operator="lessThan">
      <formula>0</formula>
    </cfRule>
  </conditionalFormatting>
  <conditionalFormatting sqref="D160:D165">
    <cfRule type="cellIs" dxfId="26" priority="28" stopIfTrue="1" operator="lessThan">
      <formula>0</formula>
    </cfRule>
  </conditionalFormatting>
  <conditionalFormatting sqref="D166:E167 D168:D169 C171:D171 D172:E172 C173:D173">
    <cfRule type="cellIs" dxfId="25" priority="35" stopIfTrue="1" operator="lessThan">
      <formula>0</formula>
    </cfRule>
  </conditionalFormatting>
  <conditionalFormatting sqref="D179:E181">
    <cfRule type="cellIs" dxfId="24" priority="37" stopIfTrue="1" operator="lessThan">
      <formula>0</formula>
    </cfRule>
  </conditionalFormatting>
  <conditionalFormatting sqref="D181:H244">
    <cfRule type="cellIs" dxfId="23" priority="684" stopIfTrue="1" operator="lessThan">
      <formula>0</formula>
    </cfRule>
  </conditionalFormatting>
  <conditionalFormatting sqref="E3:E4 E7:E8 E11 E13 E15 E23 E148:E165">
    <cfRule type="cellIs" dxfId="22" priority="23" stopIfTrue="1" operator="lessThan">
      <formula>0</formula>
    </cfRule>
  </conditionalFormatting>
  <conditionalFormatting sqref="E19:E20">
    <cfRule type="cellIs" dxfId="21" priority="19" stopIfTrue="1" operator="lessThan">
      <formula>0</formula>
    </cfRule>
  </conditionalFormatting>
  <conditionalFormatting sqref="E35:E37">
    <cfRule type="cellIs" dxfId="20" priority="20" stopIfTrue="1" operator="lessThan">
      <formula>0</formula>
    </cfRule>
  </conditionalFormatting>
  <conditionalFormatting sqref="E42">
    <cfRule type="cellIs" dxfId="19" priority="18" stopIfTrue="1" operator="lessThan">
      <formula>0</formula>
    </cfRule>
  </conditionalFormatting>
  <conditionalFormatting sqref="E58:E59">
    <cfRule type="cellIs" dxfId="18" priority="17" stopIfTrue="1" operator="lessThan">
      <formula>0</formula>
    </cfRule>
  </conditionalFormatting>
  <conditionalFormatting sqref="E61">
    <cfRule type="cellIs" dxfId="17" priority="16" stopIfTrue="1" operator="lessThan">
      <formula>0</formula>
    </cfRule>
  </conditionalFormatting>
  <conditionalFormatting sqref="E64">
    <cfRule type="cellIs" dxfId="16" priority="15" stopIfTrue="1" operator="lessThan">
      <formula>0</formula>
    </cfRule>
  </conditionalFormatting>
  <conditionalFormatting sqref="E66:E68">
    <cfRule type="cellIs" dxfId="15" priority="14" stopIfTrue="1" operator="lessThan">
      <formula>0</formula>
    </cfRule>
  </conditionalFormatting>
  <conditionalFormatting sqref="E72">
    <cfRule type="cellIs" dxfId="14" priority="13" stopIfTrue="1" operator="lessThan">
      <formula>0</formula>
    </cfRule>
  </conditionalFormatting>
  <conditionalFormatting sqref="E76:E81 E87:E89 E112:E114 E116">
    <cfRule type="cellIs" dxfId="13" priority="9" stopIfTrue="1" operator="lessThan">
      <formula>0</formula>
    </cfRule>
  </conditionalFormatting>
  <conditionalFormatting sqref="E85">
    <cfRule type="cellIs" dxfId="12" priority="8" stopIfTrue="1" operator="lessThan">
      <formula>0</formula>
    </cfRule>
  </conditionalFormatting>
  <conditionalFormatting sqref="E109:E110">
    <cfRule type="cellIs" dxfId="11" priority="6" stopIfTrue="1" operator="lessThan">
      <formula>0</formula>
    </cfRule>
  </conditionalFormatting>
  <conditionalFormatting sqref="E122:E131">
    <cfRule type="cellIs" dxfId="10" priority="2" stopIfTrue="1" operator="lessThan">
      <formula>0</formula>
    </cfRule>
  </conditionalFormatting>
  <conditionalFormatting sqref="E168:E171">
    <cfRule type="cellIs" dxfId="9" priority="25" stopIfTrue="1" operator="lessThan">
      <formula>0</formula>
    </cfRule>
  </conditionalFormatting>
  <conditionalFormatting sqref="E173:E178">
    <cfRule type="cellIs" dxfId="8" priority="24" stopIfTrue="1" operator="lessThan">
      <formula>0</formula>
    </cfRule>
  </conditionalFormatting>
  <conditionalFormatting sqref="F68:F69">
    <cfRule type="cellIs" dxfId="7" priority="22" stopIfTrue="1" operator="lessThan">
      <formula>0</formula>
    </cfRule>
  </conditionalFormatting>
  <conditionalFormatting sqref="F77">
    <cfRule type="cellIs" dxfId="6" priority="11" stopIfTrue="1" operator="lessThan">
      <formula>0</formula>
    </cfRule>
  </conditionalFormatting>
  <conditionalFormatting sqref="F87">
    <cfRule type="cellIs" dxfId="5" priority="7" stopIfTrue="1" operator="lessThan">
      <formula>0</formula>
    </cfRule>
  </conditionalFormatting>
  <conditionalFormatting sqref="F99:F100">
    <cfRule type="cellIs" dxfId="4" priority="145" stopIfTrue="1" operator="lessThan">
      <formula>0</formula>
    </cfRule>
  </conditionalFormatting>
  <conditionalFormatting sqref="F112">
    <cfRule type="cellIs" dxfId="3" priority="5" stopIfTrue="1" operator="lessThan">
      <formula>0</formula>
    </cfRule>
  </conditionalFormatting>
  <conditionalFormatting sqref="F117">
    <cfRule type="cellIs" dxfId="2" priority="29" stopIfTrue="1" operator="lessThan">
      <formula>0</formula>
    </cfRule>
  </conditionalFormatting>
  <conditionalFormatting sqref="F125">
    <cfRule type="cellIs" dxfId="1" priority="3" stopIfTrue="1" operator="lessThan">
      <formula>0</formula>
    </cfRule>
  </conditionalFormatting>
  <conditionalFormatting sqref="F131">
    <cfRule type="cellIs" dxfId="0" priority="1" stopIfTrue="1" operator="lessThan">
      <formula>0</formula>
    </cfRule>
  </conditionalFormatting>
  <dataValidations count="1">
    <dataValidation type="list" allowBlank="1" showInputMessage="1" showErrorMessage="1" sqref="E42 E19:E20 E35:E37 E33 E23 E15 E13 E11 E7:E8 E3:E4 E148:E179 E135:E146 E58:E59 E72 E61 E64 E66:E68 E76:E81 E85 E87:E89 E109:E110 E112:E114 E116 E122:E131" xr:uid="{00000000-0002-0000-0100-000000000000}">
      <formula1>$L$1:$L$19</formula1>
    </dataValidation>
  </dataValidations>
  <printOptions horizontalCentered="1"/>
  <pageMargins left="0.70866141732283472" right="0.70866141732283472" top="0.19685039370078741" bottom="0.39370078740157483" header="0" footer="0.31496062992125984"/>
  <pageSetup scale="62" orientation="portrait" horizontalDpi="4294967294" verticalDpi="4294967294" r:id="rId1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281"/>
  <sheetViews>
    <sheetView showGridLines="0" topLeftCell="G2" zoomScale="120" zoomScaleNormal="120" workbookViewId="0">
      <selection activeCell="H17" sqref="H17"/>
    </sheetView>
  </sheetViews>
  <sheetFormatPr baseColWidth="10" defaultColWidth="10.88671875" defaultRowHeight="15" customHeight="1" x14ac:dyDescent="0.3"/>
  <cols>
    <col min="1" max="1" width="10.88671875" style="1" customWidth="1"/>
    <col min="2" max="2" width="22.33203125" style="1" bestFit="1" customWidth="1"/>
    <col min="3" max="3" width="19.109375" style="1" bestFit="1" customWidth="1"/>
    <col min="4" max="4" width="16.6640625" style="1" bestFit="1" customWidth="1"/>
    <col min="5" max="5" width="29.5546875" style="1" bestFit="1" customWidth="1"/>
    <col min="6" max="6" width="14.6640625" style="1" bestFit="1" customWidth="1"/>
    <col min="7" max="7" width="28.88671875" style="1" bestFit="1" customWidth="1"/>
    <col min="8" max="8" width="11" style="52" bestFit="1" customWidth="1"/>
    <col min="9" max="9" width="20.5546875" style="1" bestFit="1" customWidth="1"/>
    <col min="10" max="10" width="3" style="1" customWidth="1"/>
    <col min="11" max="13" width="5" style="1" customWidth="1"/>
    <col min="14" max="14" width="3" style="1" customWidth="1"/>
    <col min="15" max="15" width="6" style="1" customWidth="1"/>
    <col min="16" max="16" width="4" style="1" customWidth="1"/>
    <col min="17" max="21" width="7" style="1" customWidth="1"/>
    <col min="22" max="22" width="6" style="1" customWidth="1"/>
    <col min="23" max="28" width="7" style="1" customWidth="1"/>
    <col min="29" max="29" width="6" style="1" customWidth="1"/>
    <col min="30" max="38" width="7" style="1" customWidth="1"/>
    <col min="39" max="39" width="6.33203125" style="1" customWidth="1"/>
    <col min="40" max="40" width="15.44140625" style="1" customWidth="1"/>
    <col min="41" max="41" width="4" style="1" customWidth="1"/>
    <col min="42" max="42" width="7" style="1" customWidth="1"/>
    <col min="43" max="44" width="4" style="1" customWidth="1"/>
    <col min="45" max="45" width="5" style="1" customWidth="1"/>
    <col min="46" max="46" width="8" style="1" customWidth="1"/>
    <col min="47" max="47" width="6.33203125" style="1" customWidth="1"/>
    <col min="48" max="48" width="30.6640625" style="1" customWidth="1"/>
    <col min="49" max="49" width="37" style="1" customWidth="1"/>
    <col min="50" max="50" width="37.6640625" style="1" customWidth="1"/>
    <col min="51" max="51" width="8.88671875" style="1" customWidth="1"/>
    <col min="52" max="52" width="24.88671875" style="1" customWidth="1"/>
    <col min="53" max="53" width="6.33203125" style="1" customWidth="1"/>
    <col min="54" max="54" width="12" style="1" customWidth="1"/>
    <col min="55" max="55" width="6.33203125" style="1" customWidth="1"/>
    <col min="56" max="56" width="12" style="1" customWidth="1"/>
    <col min="57" max="57" width="6.88671875" style="1" customWidth="1"/>
    <col min="58" max="58" width="13" style="1" customWidth="1"/>
    <col min="59" max="59" width="9.88671875" style="1" customWidth="1"/>
    <col min="60" max="60" width="15.5546875" style="1" customWidth="1"/>
    <col min="61" max="61" width="8.109375" style="1" customWidth="1"/>
    <col min="62" max="62" width="14.33203125" style="1" customWidth="1"/>
    <col min="63" max="63" width="30.6640625" style="1" customWidth="1"/>
    <col min="64" max="64" width="37" style="1" customWidth="1"/>
    <col min="65" max="256" width="10.88671875" style="1" customWidth="1"/>
  </cols>
  <sheetData>
    <row r="1" spans="1:64" ht="15" customHeight="1" x14ac:dyDescent="0.3">
      <c r="A1" s="61"/>
      <c r="B1" s="61"/>
      <c r="C1" s="61"/>
      <c r="D1" s="61"/>
      <c r="E1" s="61"/>
      <c r="F1" s="43"/>
    </row>
    <row r="2" spans="1:64" ht="15" customHeight="1" thickBot="1" x14ac:dyDescent="0.35">
      <c r="A2" s="61"/>
      <c r="B2" s="53" t="s">
        <v>1</v>
      </c>
      <c r="C2"/>
      <c r="D2"/>
      <c r="E2"/>
      <c r="F2"/>
      <c r="G2"/>
    </row>
    <row r="3" spans="1:64" ht="15" customHeight="1" x14ac:dyDescent="0.3">
      <c r="A3" s="61"/>
      <c r="B3" s="63" t="s">
        <v>33</v>
      </c>
      <c r="C3" s="67" t="s">
        <v>34</v>
      </c>
      <c r="D3" s="68" t="s">
        <v>35</v>
      </c>
      <c r="E3" s="68" t="s">
        <v>36</v>
      </c>
      <c r="F3" s="68" t="s">
        <v>37</v>
      </c>
      <c r="G3" s="69" t="s">
        <v>38</v>
      </c>
      <c r="H3" s="55" t="s">
        <v>42</v>
      </c>
      <c r="I3" s="56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64" ht="15" customHeight="1" x14ac:dyDescent="0.3">
      <c r="A4" s="61"/>
      <c r="B4" s="64" t="s">
        <v>26</v>
      </c>
      <c r="C4" s="70"/>
      <c r="D4" s="71">
        <v>1334.63</v>
      </c>
      <c r="E4" s="71"/>
      <c r="F4" s="71"/>
      <c r="G4" s="72"/>
      <c r="H4" s="57">
        <f t="shared" ref="H4:H9" si="0">SUM(C4:G4)</f>
        <v>1334.63</v>
      </c>
      <c r="I4" s="58" t="s">
        <v>26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5" customHeight="1" x14ac:dyDescent="0.3">
      <c r="A5" s="61"/>
      <c r="B5" s="62" t="s">
        <v>21</v>
      </c>
      <c r="C5" s="73"/>
      <c r="D5" s="54">
        <v>393.27</v>
      </c>
      <c r="E5" s="54"/>
      <c r="F5" s="54"/>
      <c r="G5" s="74"/>
      <c r="H5" s="57">
        <f t="shared" si="0"/>
        <v>393.27</v>
      </c>
      <c r="I5" s="58" t="s">
        <v>21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4" ht="15" customHeight="1" x14ac:dyDescent="0.3">
      <c r="A6" s="61"/>
      <c r="B6" s="62" t="s">
        <v>13</v>
      </c>
      <c r="C6" s="73"/>
      <c r="D6" s="54">
        <v>519.57999999999993</v>
      </c>
      <c r="E6" s="54"/>
      <c r="F6" s="54"/>
      <c r="G6" s="74"/>
      <c r="H6" s="57">
        <f t="shared" si="0"/>
        <v>519.57999999999993</v>
      </c>
      <c r="I6" s="58" t="s">
        <v>13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1:64" ht="15" customHeight="1" x14ac:dyDescent="0.3">
      <c r="A7" s="61"/>
      <c r="B7" s="62" t="s">
        <v>12</v>
      </c>
      <c r="C7" s="73">
        <v>403</v>
      </c>
      <c r="D7" s="54">
        <v>2599.19</v>
      </c>
      <c r="E7" s="54"/>
      <c r="F7" s="54"/>
      <c r="G7" s="74"/>
      <c r="H7" s="57">
        <f t="shared" si="0"/>
        <v>3002.19</v>
      </c>
      <c r="I7" s="58" t="s">
        <v>12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4" ht="15" customHeight="1" x14ac:dyDescent="0.3">
      <c r="A8" s="61"/>
      <c r="B8" s="62" t="s">
        <v>0</v>
      </c>
      <c r="C8" s="73">
        <v>1277.7</v>
      </c>
      <c r="D8" s="54">
        <v>3880.55</v>
      </c>
      <c r="E8" s="54"/>
      <c r="F8" s="54"/>
      <c r="G8" s="74"/>
      <c r="H8" s="57">
        <f t="shared" si="0"/>
        <v>5158.25</v>
      </c>
      <c r="I8" s="58" t="s">
        <v>0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ht="15" customHeight="1" x14ac:dyDescent="0.3">
      <c r="A9" s="61"/>
      <c r="B9" s="62" t="s">
        <v>18</v>
      </c>
      <c r="C9" s="73">
        <v>598</v>
      </c>
      <c r="D9" s="54">
        <v>0</v>
      </c>
      <c r="E9" s="54"/>
      <c r="F9" s="54"/>
      <c r="G9" s="74"/>
      <c r="H9" s="57">
        <f t="shared" si="0"/>
        <v>598</v>
      </c>
      <c r="I9" s="58" t="s">
        <v>18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ht="15" customHeight="1" thickBot="1" x14ac:dyDescent="0.35">
      <c r="A10" s="43"/>
      <c r="B10" s="65" t="s">
        <v>24</v>
      </c>
      <c r="C10" s="73"/>
      <c r="D10" s="54">
        <v>118.5</v>
      </c>
      <c r="E10" s="54"/>
      <c r="F10" s="54"/>
      <c r="G10" s="74">
        <v>0.01</v>
      </c>
      <c r="H10" s="57">
        <f t="shared" ref="H10" si="1">SUM(C10:G10)</f>
        <v>118.51</v>
      </c>
      <c r="I10" s="58" t="s">
        <v>24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ht="15" customHeight="1" thickBot="1" x14ac:dyDescent="0.35">
      <c r="A11" s="43"/>
      <c r="B11" s="66" t="s">
        <v>39</v>
      </c>
      <c r="C11" s="75">
        <v>2278.6999999999998</v>
      </c>
      <c r="D11" s="76">
        <v>8845.7200000000012</v>
      </c>
      <c r="E11" s="76"/>
      <c r="F11" s="76"/>
      <c r="G11" s="77">
        <v>0.01</v>
      </c>
      <c r="H11" s="78">
        <f t="shared" ref="H11" si="2">SUM(C11:G11)</f>
        <v>11124.430000000002</v>
      </c>
      <c r="I11" s="79" t="s">
        <v>40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ht="15" customHeight="1" x14ac:dyDescent="0.3">
      <c r="A12" s="43"/>
      <c r="B12"/>
      <c r="C12"/>
      <c r="D12"/>
      <c r="E12"/>
      <c r="F12"/>
      <c r="G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ht="15" customHeight="1" x14ac:dyDescent="0.3">
      <c r="A13" s="43"/>
      <c r="B13"/>
      <c r="C13"/>
      <c r="D13"/>
      <c r="E13"/>
      <c r="F13"/>
      <c r="G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ht="15" customHeight="1" x14ac:dyDescent="0.3">
      <c r="A14" s="43"/>
      <c r="B14"/>
      <c r="C14"/>
      <c r="D14"/>
      <c r="E14"/>
      <c r="F14"/>
      <c r="G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ht="15" customHeight="1" thickBot="1" x14ac:dyDescent="0.35">
      <c r="A15" s="43"/>
      <c r="B15" s="53" t="s">
        <v>2</v>
      </c>
      <c r="C15"/>
      <c r="D15"/>
      <c r="E15"/>
      <c r="F15"/>
    </row>
    <row r="16" spans="1:64" ht="15" customHeight="1" x14ac:dyDescent="0.3">
      <c r="A16" s="43"/>
      <c r="B16" s="63" t="s">
        <v>33</v>
      </c>
      <c r="C16" s="67" t="s">
        <v>34</v>
      </c>
      <c r="D16" s="68" t="s">
        <v>35</v>
      </c>
      <c r="E16" s="68" t="s">
        <v>36</v>
      </c>
      <c r="F16" s="68" t="s">
        <v>37</v>
      </c>
      <c r="G16" s="69" t="s">
        <v>38</v>
      </c>
      <c r="H16" s="55" t="s">
        <v>42</v>
      </c>
      <c r="I16" s="59"/>
    </row>
    <row r="17" spans="1:9" ht="15" customHeight="1" x14ac:dyDescent="0.3">
      <c r="A17" s="43"/>
      <c r="B17" s="64" t="s">
        <v>14</v>
      </c>
      <c r="C17" s="70"/>
      <c r="D17" s="71">
        <v>-148.5</v>
      </c>
      <c r="E17" s="71"/>
      <c r="F17" s="71"/>
      <c r="G17" s="72"/>
      <c r="H17" s="57">
        <f t="shared" ref="H17:H25" si="3">SUM(C17:G17)</f>
        <v>-148.5</v>
      </c>
      <c r="I17" s="58" t="s">
        <v>14</v>
      </c>
    </row>
    <row r="18" spans="1:9" ht="15" customHeight="1" x14ac:dyDescent="0.3">
      <c r="A18" s="43"/>
      <c r="B18" s="62" t="s">
        <v>22</v>
      </c>
      <c r="C18" s="73"/>
      <c r="D18" s="54">
        <v>-380.98</v>
      </c>
      <c r="E18" s="54"/>
      <c r="F18" s="54"/>
      <c r="G18" s="74"/>
      <c r="H18" s="57">
        <f t="shared" si="3"/>
        <v>-380.98</v>
      </c>
      <c r="I18" s="58" t="s">
        <v>22</v>
      </c>
    </row>
    <row r="19" spans="1:9" ht="15" customHeight="1" x14ac:dyDescent="0.3">
      <c r="A19" s="43"/>
      <c r="B19" s="62" t="s">
        <v>21</v>
      </c>
      <c r="C19" s="73"/>
      <c r="D19" s="54">
        <v>-2980.8100000000009</v>
      </c>
      <c r="E19" s="54"/>
      <c r="F19" s="54"/>
      <c r="G19" s="74"/>
      <c r="H19" s="57">
        <f t="shared" si="3"/>
        <v>-2980.8100000000009</v>
      </c>
      <c r="I19" s="58" t="s">
        <v>21</v>
      </c>
    </row>
    <row r="20" spans="1:9" ht="15" customHeight="1" x14ac:dyDescent="0.3">
      <c r="A20" s="43"/>
      <c r="B20" s="62" t="s">
        <v>13</v>
      </c>
      <c r="C20" s="73"/>
      <c r="D20" s="54">
        <v>-2384.2699999999995</v>
      </c>
      <c r="E20" s="54"/>
      <c r="F20" s="54">
        <v>-165.26</v>
      </c>
      <c r="G20" s="74"/>
      <c r="H20" s="57">
        <f t="shared" si="3"/>
        <v>-2549.5299999999997</v>
      </c>
      <c r="I20" s="58" t="s">
        <v>13</v>
      </c>
    </row>
    <row r="21" spans="1:9" ht="15" customHeight="1" x14ac:dyDescent="0.3">
      <c r="A21" s="43"/>
      <c r="B21" s="62" t="s">
        <v>12</v>
      </c>
      <c r="C21" s="73"/>
      <c r="D21" s="54">
        <v>-855</v>
      </c>
      <c r="E21" s="54"/>
      <c r="F21" s="54"/>
      <c r="G21" s="74"/>
      <c r="H21" s="57">
        <f t="shared" si="3"/>
        <v>-855</v>
      </c>
      <c r="I21" s="58" t="s">
        <v>12</v>
      </c>
    </row>
    <row r="22" spans="1:9" ht="15" customHeight="1" x14ac:dyDescent="0.3">
      <c r="A22" s="43"/>
      <c r="B22" s="62" t="s">
        <v>0</v>
      </c>
      <c r="C22" s="73"/>
      <c r="D22" s="54">
        <v>-3633.85</v>
      </c>
      <c r="E22" s="54"/>
      <c r="F22" s="54"/>
      <c r="G22" s="74"/>
      <c r="H22" s="57">
        <f t="shared" si="3"/>
        <v>-3633.85</v>
      </c>
      <c r="I22" s="58" t="s">
        <v>0</v>
      </c>
    </row>
    <row r="23" spans="1:9" ht="15" customHeight="1" x14ac:dyDescent="0.3">
      <c r="A23" s="43"/>
      <c r="B23" s="62" t="s">
        <v>18</v>
      </c>
      <c r="C23" s="73"/>
      <c r="D23" s="54">
        <v>-1046</v>
      </c>
      <c r="E23" s="54"/>
      <c r="F23" s="54"/>
      <c r="G23" s="74"/>
      <c r="H23" s="57">
        <f t="shared" si="3"/>
        <v>-1046</v>
      </c>
      <c r="I23" s="58" t="s">
        <v>18</v>
      </c>
    </row>
    <row r="24" spans="1:9" ht="15" customHeight="1" thickBot="1" x14ac:dyDescent="0.35">
      <c r="A24" s="43"/>
      <c r="B24" s="65" t="s">
        <v>19</v>
      </c>
      <c r="C24" s="73"/>
      <c r="D24" s="54">
        <v>-46.239999999999995</v>
      </c>
      <c r="E24" s="54"/>
      <c r="F24" s="54"/>
      <c r="G24" s="74"/>
      <c r="H24" s="57">
        <f t="shared" si="3"/>
        <v>-46.239999999999995</v>
      </c>
      <c r="I24" s="58" t="s">
        <v>19</v>
      </c>
    </row>
    <row r="25" spans="1:9" ht="15" customHeight="1" thickBot="1" x14ac:dyDescent="0.35">
      <c r="A25" s="43"/>
      <c r="B25" s="66" t="s">
        <v>39</v>
      </c>
      <c r="C25" s="75"/>
      <c r="D25" s="76">
        <v>-11475.65</v>
      </c>
      <c r="E25" s="76"/>
      <c r="F25" s="76">
        <v>-165.26</v>
      </c>
      <c r="G25" s="77"/>
      <c r="H25" s="78">
        <f t="shared" si="3"/>
        <v>-11640.91</v>
      </c>
      <c r="I25" s="79" t="s">
        <v>41</v>
      </c>
    </row>
    <row r="26" spans="1:9" ht="15" customHeight="1" x14ac:dyDescent="0.3">
      <c r="B26"/>
      <c r="C26"/>
      <c r="D26"/>
      <c r="E26"/>
      <c r="F26"/>
      <c r="G26"/>
      <c r="I26" s="60"/>
    </row>
    <row r="27" spans="1:9" ht="15" customHeight="1" x14ac:dyDescent="0.3">
      <c r="B27"/>
      <c r="C27"/>
      <c r="D27"/>
      <c r="E27"/>
      <c r="F27"/>
      <c r="G27"/>
      <c r="I27" s="60"/>
    </row>
    <row r="28" spans="1:9" ht="15" customHeight="1" x14ac:dyDescent="0.3">
      <c r="B28"/>
      <c r="C28"/>
      <c r="D28"/>
      <c r="E28"/>
      <c r="F28"/>
    </row>
    <row r="29" spans="1:9" ht="15" customHeight="1" x14ac:dyDescent="0.3">
      <c r="B29"/>
      <c r="C29"/>
      <c r="D29"/>
      <c r="E29"/>
      <c r="F29"/>
    </row>
    <row r="30" spans="1:9" ht="15" customHeight="1" x14ac:dyDescent="0.3">
      <c r="B30"/>
      <c r="C30"/>
      <c r="D30"/>
      <c r="E30"/>
      <c r="F30"/>
    </row>
    <row r="31" spans="1:9" ht="15" customHeight="1" x14ac:dyDescent="0.3">
      <c r="B31"/>
      <c r="C31"/>
      <c r="D31"/>
      <c r="E31"/>
      <c r="F31"/>
    </row>
    <row r="32" spans="1:9" ht="15" customHeight="1" x14ac:dyDescent="0.3">
      <c r="B32"/>
      <c r="C32"/>
      <c r="D32"/>
      <c r="E32"/>
      <c r="F32"/>
    </row>
    <row r="33" spans="2:6" ht="15" customHeight="1" x14ac:dyDescent="0.3">
      <c r="B33"/>
      <c r="C33"/>
      <c r="D33"/>
      <c r="E33"/>
      <c r="F33"/>
    </row>
    <row r="34" spans="2:6" ht="15" customHeight="1" x14ac:dyDescent="0.3">
      <c r="B34"/>
      <c r="C34"/>
      <c r="D34"/>
      <c r="E34"/>
      <c r="F34"/>
    </row>
    <row r="35" spans="2:6" ht="15" customHeight="1" x14ac:dyDescent="0.3">
      <c r="B35"/>
      <c r="C35"/>
      <c r="D35"/>
      <c r="E35"/>
      <c r="F35"/>
    </row>
    <row r="36" spans="2:6" ht="15" customHeight="1" x14ac:dyDescent="0.3">
      <c r="B36"/>
      <c r="C36"/>
      <c r="D36"/>
      <c r="E36"/>
      <c r="F36"/>
    </row>
    <row r="37" spans="2:6" ht="15" customHeight="1" x14ac:dyDescent="0.3">
      <c r="B37"/>
      <c r="C37"/>
      <c r="D37"/>
      <c r="E37"/>
      <c r="F37"/>
    </row>
    <row r="38" spans="2:6" ht="15" customHeight="1" x14ac:dyDescent="0.3">
      <c r="B38"/>
      <c r="C38"/>
      <c r="D38"/>
      <c r="E38"/>
      <c r="F38"/>
    </row>
    <row r="39" spans="2:6" ht="15" customHeight="1" x14ac:dyDescent="0.3">
      <c r="B39"/>
      <c r="C39"/>
      <c r="D39"/>
      <c r="E39"/>
    </row>
    <row r="40" spans="2:6" ht="15" customHeight="1" x14ac:dyDescent="0.3">
      <c r="B40"/>
      <c r="C40"/>
      <c r="D40"/>
      <c r="E40"/>
    </row>
    <row r="41" spans="2:6" ht="15" customHeight="1" x14ac:dyDescent="0.3">
      <c r="B41"/>
      <c r="C41"/>
      <c r="D41"/>
      <c r="E41"/>
    </row>
    <row r="42" spans="2:6" ht="15" customHeight="1" x14ac:dyDescent="0.3">
      <c r="B42"/>
      <c r="C42"/>
      <c r="D42"/>
      <c r="E42"/>
    </row>
    <row r="43" spans="2:6" ht="15" customHeight="1" x14ac:dyDescent="0.3">
      <c r="B43"/>
      <c r="C43"/>
      <c r="D43"/>
      <c r="E43"/>
    </row>
    <row r="44" spans="2:6" ht="15" customHeight="1" x14ac:dyDescent="0.3">
      <c r="B44"/>
      <c r="C44"/>
      <c r="D44"/>
      <c r="E44"/>
    </row>
    <row r="45" spans="2:6" ht="15" customHeight="1" x14ac:dyDescent="0.3">
      <c r="B45"/>
      <c r="C45"/>
      <c r="D45"/>
      <c r="E45"/>
    </row>
    <row r="46" spans="2:6" ht="15" customHeight="1" x14ac:dyDescent="0.3">
      <c r="B46"/>
      <c r="C46"/>
      <c r="D46"/>
      <c r="E46"/>
    </row>
    <row r="47" spans="2:6" ht="15" customHeight="1" x14ac:dyDescent="0.3">
      <c r="B47"/>
      <c r="C47"/>
      <c r="D47"/>
      <c r="E47"/>
    </row>
    <row r="48" spans="2:6" ht="15" customHeight="1" x14ac:dyDescent="0.3">
      <c r="B48"/>
      <c r="C48"/>
      <c r="D48"/>
      <c r="E48"/>
    </row>
    <row r="49" spans="2:5" ht="15" customHeight="1" x14ac:dyDescent="0.3">
      <c r="B49"/>
      <c r="C49"/>
      <c r="D49"/>
      <c r="E49"/>
    </row>
    <row r="50" spans="2:5" ht="15" customHeight="1" x14ac:dyDescent="0.3">
      <c r="B50"/>
      <c r="C50"/>
      <c r="D50"/>
    </row>
    <row r="51" spans="2:5" ht="15" customHeight="1" x14ac:dyDescent="0.3">
      <c r="B51"/>
      <c r="C51"/>
      <c r="D51"/>
    </row>
    <row r="52" spans="2:5" ht="15" customHeight="1" x14ac:dyDescent="0.3">
      <c r="B52"/>
      <c r="C52"/>
      <c r="D52"/>
    </row>
    <row r="53" spans="2:5" ht="15" customHeight="1" x14ac:dyDescent="0.3">
      <c r="B53"/>
      <c r="C53"/>
      <c r="D53"/>
    </row>
    <row r="54" spans="2:5" ht="15" customHeight="1" x14ac:dyDescent="0.3">
      <c r="B54"/>
      <c r="C54"/>
      <c r="D54"/>
    </row>
    <row r="55" spans="2:5" ht="15" customHeight="1" x14ac:dyDescent="0.3">
      <c r="B55"/>
      <c r="C55"/>
      <c r="D55"/>
    </row>
    <row r="56" spans="2:5" ht="15" customHeight="1" x14ac:dyDescent="0.3">
      <c r="B56"/>
      <c r="C56"/>
      <c r="D56"/>
    </row>
    <row r="57" spans="2:5" ht="15" customHeight="1" x14ac:dyDescent="0.3">
      <c r="B57"/>
      <c r="C57"/>
      <c r="D57"/>
    </row>
    <row r="58" spans="2:5" ht="15" customHeight="1" x14ac:dyDescent="0.3">
      <c r="B58"/>
      <c r="C58"/>
      <c r="D58"/>
    </row>
    <row r="59" spans="2:5" ht="15" customHeight="1" x14ac:dyDescent="0.3">
      <c r="B59"/>
      <c r="C59"/>
      <c r="D59"/>
    </row>
    <row r="60" spans="2:5" ht="15" customHeight="1" x14ac:dyDescent="0.3">
      <c r="B60"/>
      <c r="C60"/>
      <c r="D60"/>
    </row>
    <row r="61" spans="2:5" ht="15" customHeight="1" x14ac:dyDescent="0.3">
      <c r="B61"/>
      <c r="C61"/>
      <c r="D61"/>
    </row>
    <row r="62" spans="2:5" ht="15" customHeight="1" x14ac:dyDescent="0.3">
      <c r="B62"/>
      <c r="C62"/>
      <c r="D62"/>
    </row>
    <row r="63" spans="2:5" ht="15" customHeight="1" x14ac:dyDescent="0.3">
      <c r="B63"/>
      <c r="C63"/>
      <c r="D63"/>
    </row>
    <row r="64" spans="2:5" ht="15" customHeight="1" x14ac:dyDescent="0.3">
      <c r="B64"/>
      <c r="C64"/>
      <c r="D64"/>
    </row>
    <row r="65" spans="2:4" ht="15" customHeight="1" x14ac:dyDescent="0.3">
      <c r="B65"/>
      <c r="C65"/>
      <c r="D65"/>
    </row>
    <row r="66" spans="2:4" ht="15" customHeight="1" x14ac:dyDescent="0.3">
      <c r="B66"/>
      <c r="C66"/>
      <c r="D66"/>
    </row>
    <row r="67" spans="2:4" ht="15" customHeight="1" x14ac:dyDescent="0.3">
      <c r="B67"/>
      <c r="C67"/>
    </row>
    <row r="68" spans="2:4" ht="15" customHeight="1" x14ac:dyDescent="0.3">
      <c r="B68"/>
      <c r="C68"/>
    </row>
    <row r="69" spans="2:4" ht="15" customHeight="1" x14ac:dyDescent="0.3">
      <c r="B69"/>
      <c r="C69"/>
    </row>
    <row r="70" spans="2:4" ht="15" customHeight="1" x14ac:dyDescent="0.3">
      <c r="B70"/>
      <c r="C70"/>
    </row>
    <row r="71" spans="2:4" ht="15" customHeight="1" x14ac:dyDescent="0.3">
      <c r="B71"/>
      <c r="C71"/>
    </row>
    <row r="72" spans="2:4" ht="15" customHeight="1" x14ac:dyDescent="0.3">
      <c r="B72"/>
      <c r="C72"/>
    </row>
    <row r="73" spans="2:4" ht="15" customHeight="1" x14ac:dyDescent="0.3">
      <c r="B73"/>
      <c r="C73"/>
    </row>
    <row r="74" spans="2:4" ht="15" customHeight="1" x14ac:dyDescent="0.3">
      <c r="B74"/>
      <c r="C74"/>
    </row>
    <row r="75" spans="2:4" ht="15" customHeight="1" x14ac:dyDescent="0.3">
      <c r="B75"/>
      <c r="C75"/>
    </row>
    <row r="76" spans="2:4" ht="15" customHeight="1" x14ac:dyDescent="0.3">
      <c r="B76"/>
      <c r="C76"/>
    </row>
    <row r="77" spans="2:4" ht="15" customHeight="1" x14ac:dyDescent="0.3">
      <c r="B77"/>
      <c r="C77"/>
    </row>
    <row r="78" spans="2:4" ht="15" customHeight="1" x14ac:dyDescent="0.3">
      <c r="B78"/>
      <c r="C78"/>
    </row>
    <row r="79" spans="2:4" ht="15" customHeight="1" x14ac:dyDescent="0.3">
      <c r="B79"/>
      <c r="C79"/>
    </row>
    <row r="80" spans="2:4" ht="15" customHeight="1" x14ac:dyDescent="0.3">
      <c r="B80"/>
      <c r="C80"/>
    </row>
    <row r="81" spans="2:3" ht="15" customHeight="1" x14ac:dyDescent="0.3">
      <c r="B81"/>
      <c r="C81"/>
    </row>
    <row r="82" spans="2:3" ht="15" customHeight="1" x14ac:dyDescent="0.3">
      <c r="B82"/>
      <c r="C82"/>
    </row>
    <row r="83" spans="2:3" ht="15" customHeight="1" x14ac:dyDescent="0.3">
      <c r="B83"/>
      <c r="C83"/>
    </row>
    <row r="84" spans="2:3" ht="15" customHeight="1" x14ac:dyDescent="0.3">
      <c r="B84"/>
      <c r="C84"/>
    </row>
    <row r="85" spans="2:3" ht="15" customHeight="1" x14ac:dyDescent="0.3">
      <c r="B85"/>
      <c r="C85"/>
    </row>
    <row r="86" spans="2:3" ht="15" customHeight="1" x14ac:dyDescent="0.3">
      <c r="B86"/>
      <c r="C86"/>
    </row>
    <row r="87" spans="2:3" ht="15" customHeight="1" x14ac:dyDescent="0.3">
      <c r="B87"/>
      <c r="C87"/>
    </row>
    <row r="88" spans="2:3" ht="15" customHeight="1" x14ac:dyDescent="0.3">
      <c r="B88"/>
      <c r="C88"/>
    </row>
    <row r="89" spans="2:3" ht="15" customHeight="1" x14ac:dyDescent="0.3">
      <c r="B89"/>
      <c r="C89"/>
    </row>
    <row r="90" spans="2:3" ht="15" customHeight="1" x14ac:dyDescent="0.3">
      <c r="B90"/>
      <c r="C90"/>
    </row>
    <row r="91" spans="2:3" ht="15" customHeight="1" x14ac:dyDescent="0.3">
      <c r="B91"/>
      <c r="C91"/>
    </row>
    <row r="92" spans="2:3" ht="15" customHeight="1" x14ac:dyDescent="0.3">
      <c r="B92"/>
      <c r="C92"/>
    </row>
    <row r="93" spans="2:3" ht="15" customHeight="1" x14ac:dyDescent="0.3">
      <c r="B93"/>
      <c r="C93"/>
    </row>
    <row r="94" spans="2:3" ht="15" customHeight="1" x14ac:dyDescent="0.3">
      <c r="B94"/>
      <c r="C94"/>
    </row>
    <row r="95" spans="2:3" ht="15" customHeight="1" x14ac:dyDescent="0.3">
      <c r="B95"/>
      <c r="C95"/>
    </row>
    <row r="96" spans="2:3" ht="15" customHeight="1" x14ac:dyDescent="0.3">
      <c r="B96"/>
      <c r="C96"/>
    </row>
    <row r="97" spans="2:3" ht="15" customHeight="1" x14ac:dyDescent="0.3">
      <c r="B97"/>
      <c r="C97"/>
    </row>
    <row r="98" spans="2:3" ht="15" customHeight="1" x14ac:dyDescent="0.3">
      <c r="B98"/>
      <c r="C98"/>
    </row>
    <row r="99" spans="2:3" ht="15" customHeight="1" x14ac:dyDescent="0.3">
      <c r="B99"/>
      <c r="C99"/>
    </row>
    <row r="100" spans="2:3" ht="15" customHeight="1" x14ac:dyDescent="0.3">
      <c r="B100"/>
      <c r="C100"/>
    </row>
    <row r="101" spans="2:3" ht="15" customHeight="1" x14ac:dyDescent="0.3">
      <c r="B101"/>
      <c r="C101"/>
    </row>
    <row r="102" spans="2:3" ht="15" customHeight="1" x14ac:dyDescent="0.3">
      <c r="B102"/>
      <c r="C102"/>
    </row>
    <row r="103" spans="2:3" ht="15" customHeight="1" x14ac:dyDescent="0.3">
      <c r="B103"/>
      <c r="C103"/>
    </row>
    <row r="104" spans="2:3" ht="15" customHeight="1" x14ac:dyDescent="0.3">
      <c r="B104"/>
      <c r="C104"/>
    </row>
    <row r="105" spans="2:3" ht="15" customHeight="1" x14ac:dyDescent="0.3">
      <c r="B105"/>
      <c r="C105"/>
    </row>
    <row r="106" spans="2:3" ht="15" customHeight="1" x14ac:dyDescent="0.3">
      <c r="B106"/>
      <c r="C106"/>
    </row>
    <row r="107" spans="2:3" ht="15" customHeight="1" x14ac:dyDescent="0.3">
      <c r="B107"/>
      <c r="C107"/>
    </row>
    <row r="108" spans="2:3" ht="15" customHeight="1" x14ac:dyDescent="0.3">
      <c r="B108"/>
      <c r="C108"/>
    </row>
    <row r="109" spans="2:3" ht="15" customHeight="1" x14ac:dyDescent="0.3">
      <c r="B109"/>
      <c r="C109"/>
    </row>
    <row r="110" spans="2:3" ht="15" customHeight="1" x14ac:dyDescent="0.3">
      <c r="B110"/>
      <c r="C110"/>
    </row>
    <row r="111" spans="2:3" ht="15" customHeight="1" x14ac:dyDescent="0.3">
      <c r="B111"/>
      <c r="C111"/>
    </row>
    <row r="112" spans="2:3" ht="15" customHeight="1" x14ac:dyDescent="0.3">
      <c r="B112"/>
      <c r="C112"/>
    </row>
    <row r="113" spans="2:3" ht="15" customHeight="1" x14ac:dyDescent="0.3">
      <c r="B113"/>
      <c r="C113"/>
    </row>
    <row r="114" spans="2:3" ht="15" customHeight="1" x14ac:dyDescent="0.3">
      <c r="B114"/>
      <c r="C114"/>
    </row>
    <row r="115" spans="2:3" ht="15" customHeight="1" x14ac:dyDescent="0.3">
      <c r="B115"/>
      <c r="C115"/>
    </row>
    <row r="116" spans="2:3" ht="15" customHeight="1" x14ac:dyDescent="0.3">
      <c r="B116"/>
      <c r="C116"/>
    </row>
    <row r="117" spans="2:3" ht="15" customHeight="1" x14ac:dyDescent="0.3">
      <c r="B117"/>
      <c r="C117"/>
    </row>
    <row r="118" spans="2:3" ht="15" customHeight="1" x14ac:dyDescent="0.3">
      <c r="B118"/>
      <c r="C118"/>
    </row>
    <row r="119" spans="2:3" ht="15" customHeight="1" x14ac:dyDescent="0.3">
      <c r="B119"/>
      <c r="C119"/>
    </row>
    <row r="120" spans="2:3" ht="15" customHeight="1" x14ac:dyDescent="0.3">
      <c r="B120"/>
      <c r="C120"/>
    </row>
    <row r="121" spans="2:3" ht="15" customHeight="1" x14ac:dyDescent="0.3">
      <c r="B121"/>
      <c r="C121"/>
    </row>
    <row r="122" spans="2:3" ht="15" customHeight="1" x14ac:dyDescent="0.3">
      <c r="B122"/>
      <c r="C122"/>
    </row>
    <row r="123" spans="2:3" ht="15" customHeight="1" x14ac:dyDescent="0.3">
      <c r="B123"/>
      <c r="C123"/>
    </row>
    <row r="124" spans="2:3" ht="15" customHeight="1" x14ac:dyDescent="0.3">
      <c r="B124"/>
      <c r="C124"/>
    </row>
    <row r="125" spans="2:3" ht="15" customHeight="1" x14ac:dyDescent="0.3">
      <c r="B125"/>
      <c r="C125"/>
    </row>
    <row r="126" spans="2:3" ht="15" customHeight="1" x14ac:dyDescent="0.3">
      <c r="B126"/>
      <c r="C126"/>
    </row>
    <row r="127" spans="2:3" ht="15" customHeight="1" x14ac:dyDescent="0.3">
      <c r="B127"/>
      <c r="C127"/>
    </row>
    <row r="128" spans="2:3" ht="15" customHeight="1" x14ac:dyDescent="0.3">
      <c r="B128"/>
      <c r="C128"/>
    </row>
    <row r="129" spans="2:3" ht="15" customHeight="1" x14ac:dyDescent="0.3">
      <c r="B129"/>
      <c r="C129"/>
    </row>
    <row r="130" spans="2:3" ht="15" customHeight="1" x14ac:dyDescent="0.3">
      <c r="B130"/>
      <c r="C130"/>
    </row>
    <row r="131" spans="2:3" ht="15" customHeight="1" x14ac:dyDescent="0.3">
      <c r="B131"/>
      <c r="C131"/>
    </row>
    <row r="132" spans="2:3" ht="15" customHeight="1" x14ac:dyDescent="0.3">
      <c r="B132"/>
      <c r="C132"/>
    </row>
    <row r="133" spans="2:3" ht="15" customHeight="1" x14ac:dyDescent="0.3">
      <c r="B133"/>
      <c r="C133"/>
    </row>
    <row r="134" spans="2:3" ht="15" customHeight="1" x14ac:dyDescent="0.3">
      <c r="B134"/>
      <c r="C134"/>
    </row>
    <row r="135" spans="2:3" ht="15" customHeight="1" x14ac:dyDescent="0.3">
      <c r="B135"/>
      <c r="C135"/>
    </row>
    <row r="136" spans="2:3" ht="15" customHeight="1" x14ac:dyDescent="0.3">
      <c r="B136"/>
      <c r="C136"/>
    </row>
    <row r="137" spans="2:3" ht="15" customHeight="1" x14ac:dyDescent="0.3">
      <c r="B137"/>
      <c r="C137"/>
    </row>
    <row r="138" spans="2:3" ht="15" customHeight="1" x14ac:dyDescent="0.3">
      <c r="B138"/>
      <c r="C138"/>
    </row>
    <row r="139" spans="2:3" ht="15" customHeight="1" x14ac:dyDescent="0.3">
      <c r="B139"/>
      <c r="C139"/>
    </row>
    <row r="140" spans="2:3" ht="15" customHeight="1" x14ac:dyDescent="0.3">
      <c r="B140"/>
      <c r="C140"/>
    </row>
    <row r="141" spans="2:3" ht="15" customHeight="1" x14ac:dyDescent="0.3">
      <c r="B141"/>
      <c r="C141"/>
    </row>
    <row r="142" spans="2:3" ht="15" customHeight="1" x14ac:dyDescent="0.3">
      <c r="B142"/>
      <c r="C142"/>
    </row>
    <row r="143" spans="2:3" ht="15" customHeight="1" x14ac:dyDescent="0.3">
      <c r="B143"/>
      <c r="C143"/>
    </row>
    <row r="144" spans="2:3" ht="15" customHeight="1" x14ac:dyDescent="0.3">
      <c r="B144"/>
      <c r="C144"/>
    </row>
    <row r="145" spans="2:3" ht="15" customHeight="1" x14ac:dyDescent="0.3">
      <c r="B145"/>
      <c r="C145"/>
    </row>
    <row r="146" spans="2:3" ht="15" customHeight="1" x14ac:dyDescent="0.3">
      <c r="B146"/>
      <c r="C146"/>
    </row>
    <row r="147" spans="2:3" ht="15" customHeight="1" x14ac:dyDescent="0.3">
      <c r="B147"/>
      <c r="C147"/>
    </row>
    <row r="148" spans="2:3" ht="15" customHeight="1" x14ac:dyDescent="0.3">
      <c r="B148"/>
      <c r="C148"/>
    </row>
    <row r="149" spans="2:3" ht="15" customHeight="1" x14ac:dyDescent="0.3">
      <c r="B149"/>
      <c r="C149"/>
    </row>
    <row r="150" spans="2:3" ht="15" customHeight="1" x14ac:dyDescent="0.3">
      <c r="B150"/>
      <c r="C150"/>
    </row>
    <row r="151" spans="2:3" ht="15" customHeight="1" x14ac:dyDescent="0.3">
      <c r="B151"/>
      <c r="C151"/>
    </row>
    <row r="152" spans="2:3" ht="15" customHeight="1" x14ac:dyDescent="0.3">
      <c r="B152"/>
      <c r="C152"/>
    </row>
    <row r="153" spans="2:3" ht="15" customHeight="1" x14ac:dyDescent="0.3">
      <c r="B153"/>
      <c r="C153"/>
    </row>
    <row r="154" spans="2:3" ht="15" customHeight="1" x14ac:dyDescent="0.3">
      <c r="B154"/>
      <c r="C154"/>
    </row>
    <row r="155" spans="2:3" ht="15" customHeight="1" x14ac:dyDescent="0.3">
      <c r="B155"/>
      <c r="C155"/>
    </row>
    <row r="156" spans="2:3" ht="15" customHeight="1" x14ac:dyDescent="0.3">
      <c r="B156"/>
      <c r="C156"/>
    </row>
    <row r="157" spans="2:3" ht="15" customHeight="1" x14ac:dyDescent="0.3">
      <c r="B157"/>
      <c r="C157"/>
    </row>
    <row r="158" spans="2:3" ht="15" customHeight="1" x14ac:dyDescent="0.3">
      <c r="B158"/>
      <c r="C158"/>
    </row>
    <row r="159" spans="2:3" ht="15" customHeight="1" x14ac:dyDescent="0.3">
      <c r="B159"/>
      <c r="C159"/>
    </row>
    <row r="160" spans="2:3" ht="15" customHeight="1" x14ac:dyDescent="0.3">
      <c r="B160"/>
      <c r="C160"/>
    </row>
    <row r="161" spans="2:3" ht="15" customHeight="1" x14ac:dyDescent="0.3">
      <c r="B161"/>
      <c r="C161"/>
    </row>
    <row r="162" spans="2:3" ht="15" customHeight="1" x14ac:dyDescent="0.3">
      <c r="B162"/>
      <c r="C162"/>
    </row>
    <row r="163" spans="2:3" ht="15" customHeight="1" x14ac:dyDescent="0.3">
      <c r="B163"/>
      <c r="C163"/>
    </row>
    <row r="164" spans="2:3" ht="15" customHeight="1" x14ac:dyDescent="0.3">
      <c r="B164"/>
      <c r="C164"/>
    </row>
    <row r="165" spans="2:3" ht="15" customHeight="1" x14ac:dyDescent="0.3">
      <c r="B165"/>
      <c r="C165"/>
    </row>
    <row r="166" spans="2:3" ht="15" customHeight="1" x14ac:dyDescent="0.3">
      <c r="B166"/>
      <c r="C166"/>
    </row>
    <row r="167" spans="2:3" ht="15" customHeight="1" x14ac:dyDescent="0.3">
      <c r="B167"/>
      <c r="C167"/>
    </row>
    <row r="168" spans="2:3" ht="15" customHeight="1" x14ac:dyDescent="0.3">
      <c r="B168"/>
      <c r="C168"/>
    </row>
    <row r="169" spans="2:3" ht="15" customHeight="1" x14ac:dyDescent="0.3">
      <c r="B169"/>
      <c r="C169"/>
    </row>
    <row r="170" spans="2:3" ht="15" customHeight="1" x14ac:dyDescent="0.3">
      <c r="B170"/>
      <c r="C170"/>
    </row>
    <row r="171" spans="2:3" ht="15" customHeight="1" x14ac:dyDescent="0.3">
      <c r="B171"/>
      <c r="C171"/>
    </row>
    <row r="172" spans="2:3" ht="15" customHeight="1" x14ac:dyDescent="0.3">
      <c r="B172"/>
      <c r="C172"/>
    </row>
    <row r="173" spans="2:3" ht="15" customHeight="1" x14ac:dyDescent="0.3">
      <c r="B173"/>
      <c r="C173"/>
    </row>
    <row r="174" spans="2:3" ht="15" customHeight="1" x14ac:dyDescent="0.3">
      <c r="B174"/>
      <c r="C174"/>
    </row>
    <row r="175" spans="2:3" ht="15" customHeight="1" x14ac:dyDescent="0.3">
      <c r="B175"/>
      <c r="C175"/>
    </row>
    <row r="176" spans="2:3" ht="15" customHeight="1" x14ac:dyDescent="0.3">
      <c r="B176"/>
      <c r="C176"/>
    </row>
    <row r="177" spans="2:3" ht="15" customHeight="1" x14ac:dyDescent="0.3">
      <c r="B177"/>
      <c r="C177"/>
    </row>
    <row r="178" spans="2:3" ht="15" customHeight="1" x14ac:dyDescent="0.3">
      <c r="B178"/>
      <c r="C178"/>
    </row>
    <row r="179" spans="2:3" ht="15" customHeight="1" x14ac:dyDescent="0.3">
      <c r="B179"/>
      <c r="C179"/>
    </row>
    <row r="180" spans="2:3" ht="15" customHeight="1" x14ac:dyDescent="0.3">
      <c r="B180"/>
      <c r="C180"/>
    </row>
    <row r="181" spans="2:3" ht="15" customHeight="1" x14ac:dyDescent="0.3">
      <c r="B181"/>
      <c r="C181"/>
    </row>
    <row r="182" spans="2:3" ht="15" customHeight="1" x14ac:dyDescent="0.3">
      <c r="B182"/>
      <c r="C182"/>
    </row>
    <row r="183" spans="2:3" ht="15" customHeight="1" x14ac:dyDescent="0.3">
      <c r="B183"/>
      <c r="C183"/>
    </row>
    <row r="184" spans="2:3" ht="15" customHeight="1" x14ac:dyDescent="0.3">
      <c r="B184"/>
      <c r="C184"/>
    </row>
    <row r="185" spans="2:3" ht="15" customHeight="1" x14ac:dyDescent="0.3">
      <c r="B185"/>
      <c r="C185"/>
    </row>
    <row r="186" spans="2:3" ht="15" customHeight="1" x14ac:dyDescent="0.3">
      <c r="B186"/>
      <c r="C186"/>
    </row>
    <row r="187" spans="2:3" ht="15" customHeight="1" x14ac:dyDescent="0.3">
      <c r="B187"/>
      <c r="C187"/>
    </row>
    <row r="188" spans="2:3" ht="15" customHeight="1" x14ac:dyDescent="0.3">
      <c r="B188"/>
      <c r="C188"/>
    </row>
    <row r="189" spans="2:3" ht="15" customHeight="1" x14ac:dyDescent="0.3">
      <c r="B189"/>
      <c r="C189"/>
    </row>
    <row r="190" spans="2:3" ht="15" customHeight="1" x14ac:dyDescent="0.3">
      <c r="B190"/>
      <c r="C190"/>
    </row>
    <row r="191" spans="2:3" ht="15" customHeight="1" x14ac:dyDescent="0.3">
      <c r="B191"/>
      <c r="C191"/>
    </row>
    <row r="192" spans="2:3" ht="15" customHeight="1" x14ac:dyDescent="0.3">
      <c r="B192"/>
      <c r="C192"/>
    </row>
    <row r="193" spans="2:3" ht="15" customHeight="1" x14ac:dyDescent="0.3">
      <c r="B193"/>
      <c r="C193"/>
    </row>
    <row r="194" spans="2:3" ht="15" customHeight="1" x14ac:dyDescent="0.3">
      <c r="B194"/>
      <c r="C194"/>
    </row>
    <row r="195" spans="2:3" ht="15" customHeight="1" x14ac:dyDescent="0.3">
      <c r="B195"/>
      <c r="C195"/>
    </row>
    <row r="196" spans="2:3" ht="15" customHeight="1" x14ac:dyDescent="0.3">
      <c r="B196"/>
      <c r="C196"/>
    </row>
    <row r="197" spans="2:3" ht="15" customHeight="1" x14ac:dyDescent="0.3">
      <c r="B197"/>
      <c r="C197"/>
    </row>
    <row r="198" spans="2:3" ht="15" customHeight="1" x14ac:dyDescent="0.3">
      <c r="B198"/>
      <c r="C198"/>
    </row>
    <row r="199" spans="2:3" ht="15" customHeight="1" x14ac:dyDescent="0.3">
      <c r="B199"/>
      <c r="C199"/>
    </row>
    <row r="200" spans="2:3" ht="15" customHeight="1" x14ac:dyDescent="0.3">
      <c r="B200"/>
      <c r="C200"/>
    </row>
    <row r="201" spans="2:3" ht="15" customHeight="1" x14ac:dyDescent="0.3">
      <c r="B201"/>
      <c r="C201"/>
    </row>
    <row r="202" spans="2:3" ht="15" customHeight="1" x14ac:dyDescent="0.3">
      <c r="B202"/>
      <c r="C202"/>
    </row>
    <row r="203" spans="2:3" ht="15" customHeight="1" x14ac:dyDescent="0.3">
      <c r="B203"/>
      <c r="C203"/>
    </row>
    <row r="204" spans="2:3" ht="15" customHeight="1" x14ac:dyDescent="0.3">
      <c r="B204"/>
      <c r="C204"/>
    </row>
    <row r="205" spans="2:3" ht="15" customHeight="1" x14ac:dyDescent="0.3">
      <c r="B205"/>
      <c r="C205"/>
    </row>
    <row r="206" spans="2:3" ht="15" customHeight="1" x14ac:dyDescent="0.3">
      <c r="B206"/>
      <c r="C206"/>
    </row>
    <row r="207" spans="2:3" ht="15" customHeight="1" x14ac:dyDescent="0.3">
      <c r="B207"/>
      <c r="C207"/>
    </row>
    <row r="208" spans="2:3" ht="15" customHeight="1" x14ac:dyDescent="0.3">
      <c r="B208"/>
      <c r="C208"/>
    </row>
    <row r="209" spans="2:3" ht="15" customHeight="1" x14ac:dyDescent="0.3">
      <c r="B209"/>
      <c r="C209"/>
    </row>
    <row r="210" spans="2:3" ht="15" customHeight="1" x14ac:dyDescent="0.3">
      <c r="B210"/>
      <c r="C210"/>
    </row>
    <row r="211" spans="2:3" ht="15" customHeight="1" x14ac:dyDescent="0.3">
      <c r="B211"/>
      <c r="C211"/>
    </row>
    <row r="212" spans="2:3" ht="15" customHeight="1" x14ac:dyDescent="0.3">
      <c r="B212"/>
      <c r="C212"/>
    </row>
    <row r="213" spans="2:3" ht="15" customHeight="1" x14ac:dyDescent="0.3">
      <c r="B213"/>
      <c r="C213"/>
    </row>
    <row r="214" spans="2:3" ht="15" customHeight="1" x14ac:dyDescent="0.3">
      <c r="B214"/>
      <c r="C214"/>
    </row>
    <row r="215" spans="2:3" ht="15" customHeight="1" x14ac:dyDescent="0.3">
      <c r="B215"/>
      <c r="C215"/>
    </row>
    <row r="216" spans="2:3" ht="15" customHeight="1" x14ac:dyDescent="0.3">
      <c r="B216"/>
      <c r="C216"/>
    </row>
    <row r="217" spans="2:3" ht="15" customHeight="1" x14ac:dyDescent="0.3">
      <c r="B217"/>
      <c r="C217"/>
    </row>
    <row r="218" spans="2:3" ht="15" customHeight="1" x14ac:dyDescent="0.3">
      <c r="B218"/>
      <c r="C218"/>
    </row>
    <row r="219" spans="2:3" ht="15" customHeight="1" x14ac:dyDescent="0.3">
      <c r="B219"/>
      <c r="C219"/>
    </row>
    <row r="220" spans="2:3" ht="15" customHeight="1" x14ac:dyDescent="0.3">
      <c r="B220"/>
      <c r="C220"/>
    </row>
    <row r="221" spans="2:3" ht="15" customHeight="1" x14ac:dyDescent="0.3">
      <c r="B221"/>
      <c r="C221"/>
    </row>
    <row r="222" spans="2:3" ht="15" customHeight="1" x14ac:dyDescent="0.3">
      <c r="B222"/>
    </row>
    <row r="223" spans="2:3" ht="15" customHeight="1" x14ac:dyDescent="0.3">
      <c r="B223"/>
    </row>
    <row r="224" spans="2:3" ht="15" customHeight="1" x14ac:dyDescent="0.3">
      <c r="B224"/>
    </row>
    <row r="225" spans="2:2" ht="15" customHeight="1" x14ac:dyDescent="0.3">
      <c r="B225"/>
    </row>
    <row r="226" spans="2:2" ht="15" customHeight="1" x14ac:dyDescent="0.3">
      <c r="B226"/>
    </row>
    <row r="227" spans="2:2" ht="15" customHeight="1" x14ac:dyDescent="0.3">
      <c r="B227"/>
    </row>
    <row r="228" spans="2:2" ht="15" customHeight="1" x14ac:dyDescent="0.3">
      <c r="B228"/>
    </row>
    <row r="229" spans="2:2" ht="15" customHeight="1" x14ac:dyDescent="0.3">
      <c r="B229"/>
    </row>
    <row r="230" spans="2:2" ht="15" customHeight="1" x14ac:dyDescent="0.3">
      <c r="B230"/>
    </row>
    <row r="231" spans="2:2" ht="15" customHeight="1" x14ac:dyDescent="0.3">
      <c r="B231"/>
    </row>
    <row r="232" spans="2:2" ht="15" customHeight="1" x14ac:dyDescent="0.3">
      <c r="B232"/>
    </row>
    <row r="233" spans="2:2" ht="15" customHeight="1" x14ac:dyDescent="0.3">
      <c r="B233"/>
    </row>
    <row r="234" spans="2:2" ht="15" customHeight="1" x14ac:dyDescent="0.3">
      <c r="B234"/>
    </row>
    <row r="235" spans="2:2" ht="15" customHeight="1" x14ac:dyDescent="0.3">
      <c r="B235"/>
    </row>
    <row r="236" spans="2:2" ht="15" customHeight="1" x14ac:dyDescent="0.3">
      <c r="B236"/>
    </row>
    <row r="237" spans="2:2" ht="15" customHeight="1" x14ac:dyDescent="0.3">
      <c r="B237"/>
    </row>
    <row r="238" spans="2:2" ht="15" customHeight="1" x14ac:dyDescent="0.3">
      <c r="B238"/>
    </row>
    <row r="239" spans="2:2" ht="15" customHeight="1" x14ac:dyDescent="0.3">
      <c r="B239"/>
    </row>
    <row r="240" spans="2:2" ht="15" customHeight="1" x14ac:dyDescent="0.3">
      <c r="B240"/>
    </row>
    <row r="241" spans="2:2" ht="15" customHeight="1" x14ac:dyDescent="0.3">
      <c r="B241"/>
    </row>
    <row r="242" spans="2:2" ht="15" customHeight="1" x14ac:dyDescent="0.3">
      <c r="B242"/>
    </row>
    <row r="243" spans="2:2" ht="15" customHeight="1" x14ac:dyDescent="0.3">
      <c r="B243"/>
    </row>
    <row r="244" spans="2:2" ht="15" customHeight="1" x14ac:dyDescent="0.3">
      <c r="B244"/>
    </row>
    <row r="245" spans="2:2" ht="15" customHeight="1" x14ac:dyDescent="0.3">
      <c r="B245"/>
    </row>
    <row r="246" spans="2:2" ht="15" customHeight="1" x14ac:dyDescent="0.3">
      <c r="B246"/>
    </row>
    <row r="247" spans="2:2" ht="15" customHeight="1" x14ac:dyDescent="0.3">
      <c r="B247"/>
    </row>
    <row r="248" spans="2:2" ht="15" customHeight="1" x14ac:dyDescent="0.3">
      <c r="B248"/>
    </row>
    <row r="249" spans="2:2" ht="15" customHeight="1" x14ac:dyDescent="0.3">
      <c r="B249"/>
    </row>
    <row r="250" spans="2:2" ht="15" customHeight="1" x14ac:dyDescent="0.3">
      <c r="B250"/>
    </row>
    <row r="251" spans="2:2" ht="15" customHeight="1" x14ac:dyDescent="0.3">
      <c r="B251"/>
    </row>
    <row r="252" spans="2:2" ht="15" customHeight="1" x14ac:dyDescent="0.3">
      <c r="B252"/>
    </row>
    <row r="253" spans="2:2" ht="15" customHeight="1" x14ac:dyDescent="0.3">
      <c r="B253"/>
    </row>
    <row r="254" spans="2:2" ht="15" customHeight="1" x14ac:dyDescent="0.3">
      <c r="B254"/>
    </row>
    <row r="255" spans="2:2" ht="15" customHeight="1" x14ac:dyDescent="0.3">
      <c r="B255"/>
    </row>
    <row r="256" spans="2:2" ht="15" customHeight="1" x14ac:dyDescent="0.3">
      <c r="B256"/>
    </row>
    <row r="257" spans="2:2" ht="15" customHeight="1" x14ac:dyDescent="0.3">
      <c r="B257"/>
    </row>
    <row r="258" spans="2:2" ht="15" customHeight="1" x14ac:dyDescent="0.3">
      <c r="B258"/>
    </row>
    <row r="259" spans="2:2" ht="15" customHeight="1" x14ac:dyDescent="0.3">
      <c r="B259"/>
    </row>
    <row r="260" spans="2:2" ht="15" customHeight="1" x14ac:dyDescent="0.3">
      <c r="B260"/>
    </row>
    <row r="261" spans="2:2" ht="15" customHeight="1" x14ac:dyDescent="0.3">
      <c r="B261"/>
    </row>
    <row r="262" spans="2:2" ht="15" customHeight="1" x14ac:dyDescent="0.3">
      <c r="B262"/>
    </row>
    <row r="263" spans="2:2" ht="15" customHeight="1" x14ac:dyDescent="0.3">
      <c r="B263"/>
    </row>
    <row r="264" spans="2:2" ht="15" customHeight="1" x14ac:dyDescent="0.3">
      <c r="B264"/>
    </row>
    <row r="265" spans="2:2" ht="15" customHeight="1" x14ac:dyDescent="0.3">
      <c r="B265"/>
    </row>
    <row r="266" spans="2:2" ht="15" customHeight="1" x14ac:dyDescent="0.3">
      <c r="B266"/>
    </row>
    <row r="267" spans="2:2" ht="15" customHeight="1" x14ac:dyDescent="0.3">
      <c r="B267"/>
    </row>
    <row r="268" spans="2:2" ht="15" customHeight="1" x14ac:dyDescent="0.3">
      <c r="B268"/>
    </row>
    <row r="269" spans="2:2" ht="15" customHeight="1" x14ac:dyDescent="0.3">
      <c r="B269"/>
    </row>
    <row r="270" spans="2:2" ht="15" customHeight="1" x14ac:dyDescent="0.3">
      <c r="B270"/>
    </row>
    <row r="271" spans="2:2" ht="15" customHeight="1" x14ac:dyDescent="0.3">
      <c r="B271"/>
    </row>
    <row r="272" spans="2:2" ht="15" customHeight="1" x14ac:dyDescent="0.3">
      <c r="B272"/>
    </row>
    <row r="273" spans="2:2" ht="15" customHeight="1" x14ac:dyDescent="0.3">
      <c r="B273"/>
    </row>
    <row r="274" spans="2:2" ht="15" customHeight="1" x14ac:dyDescent="0.3">
      <c r="B274"/>
    </row>
    <row r="275" spans="2:2" ht="15" customHeight="1" x14ac:dyDescent="0.3">
      <c r="B275"/>
    </row>
    <row r="276" spans="2:2" ht="15" customHeight="1" x14ac:dyDescent="0.3">
      <c r="B276"/>
    </row>
    <row r="277" spans="2:2" ht="15" customHeight="1" x14ac:dyDescent="0.3">
      <c r="B277"/>
    </row>
    <row r="278" spans="2:2" ht="15" customHeight="1" x14ac:dyDescent="0.3">
      <c r="B278"/>
    </row>
    <row r="279" spans="2:2" ht="15" customHeight="1" x14ac:dyDescent="0.3">
      <c r="B279"/>
    </row>
    <row r="280" spans="2:2" ht="15" customHeight="1" x14ac:dyDescent="0.3">
      <c r="B280"/>
    </row>
    <row r="281" spans="2:2" ht="15" customHeight="1" x14ac:dyDescent="0.3">
      <c r="B281"/>
    </row>
  </sheetData>
  <pageMargins left="0.7" right="0.7" top="0.78740200000000005" bottom="0.78740200000000005" header="0.3" footer="0.3"/>
  <pageSetup scale="65" orientation="landscape" r:id="rId3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Einnahmen</vt:lpstr>
      <vt:lpstr>Ausgaben</vt:lpstr>
      <vt:lpstr>Gesamt</vt:lpstr>
      <vt:lpstr>Ausgaben!Druckbereich</vt:lpstr>
      <vt:lpstr>Einnahmen!Druckbereich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Karl-Heinz</dc:creator>
  <cp:lastModifiedBy>Bernd Wildner</cp:lastModifiedBy>
  <cp:lastPrinted>2020-01-04T14:36:48Z</cp:lastPrinted>
  <dcterms:created xsi:type="dcterms:W3CDTF">2016-04-07T18:55:15Z</dcterms:created>
  <dcterms:modified xsi:type="dcterms:W3CDTF">2026-10-12T10:11:01Z</dcterms:modified>
</cp:coreProperties>
</file>