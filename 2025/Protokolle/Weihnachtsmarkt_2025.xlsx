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DesktopFiles\AWO\2025\Protokolle\"/>
    </mc:Choice>
  </mc:AlternateContent>
  <xr:revisionPtr revIDLastSave="0" documentId="13_ncr:1_{B459361F-C248-4C3A-9473-BE4FCBF52BBD}" xr6:coauthVersionLast="47" xr6:coauthVersionMax="47" xr10:uidLastSave="{00000000-0000-0000-0000-000000000000}"/>
  <bookViews>
    <workbookView xWindow="-108" yWindow="-108" windowWidth="23256" windowHeight="12576" xr2:uid="{2E40B4CD-9610-41AD-8957-E1E00C8A7F39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3" i="1" l="1"/>
  <c r="G17" i="1"/>
  <c r="C24" i="1" s="1"/>
  <c r="G5" i="1"/>
  <c r="C25" i="1" l="1"/>
</calcChain>
</file>

<file path=xl/sharedStrings.xml><?xml version="1.0" encoding="utf-8"?>
<sst xmlns="http://schemas.openxmlformats.org/spreadsheetml/2006/main" count="25" uniqueCount="16">
  <si>
    <t>Weihnachtsmarkt 2025</t>
  </si>
  <si>
    <t>W.feier (W.Markt 1145, 795 W.feier)</t>
  </si>
  <si>
    <t>Einnahmen</t>
  </si>
  <si>
    <t>T. z. g. Laune</t>
  </si>
  <si>
    <t>Glühwein</t>
  </si>
  <si>
    <t>W.markt, Waffeln</t>
  </si>
  <si>
    <t>W.markt, Glühw, Würstle</t>
  </si>
  <si>
    <t>Gulasch</t>
  </si>
  <si>
    <t>kommt noch</t>
  </si>
  <si>
    <t>kommt noch, geschätzt</t>
  </si>
  <si>
    <t>Preisliste</t>
  </si>
  <si>
    <t>Brötchen</t>
  </si>
  <si>
    <t>Ausgaben</t>
  </si>
  <si>
    <t>Gesamt</t>
  </si>
  <si>
    <t>W.markt,</t>
  </si>
  <si>
    <t>W.markt Wasser, Schnaps, Sekt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</si>
</sst>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&quot;.&quot;mm&quot;.&quot;yyyy"/>
    <numFmt numFmtId="165" formatCode="#,##0.00&quot; €&quot;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164" fontId="0" fillId="2" borderId="1" xfId="0" applyNumberFormat="1" applyFill="1" applyBorder="1"/>
    <xf numFmtId="0" fontId="0" fillId="2" borderId="1" xfId="0" applyFill="1" applyBorder="1"/>
    <xf numFmtId="1" fontId="0" fillId="2" borderId="1" xfId="0" applyNumberFormat="1" applyFill="1" applyBorder="1" applyAlignment="1">
      <alignment horizontal="center"/>
    </xf>
    <xf numFmtId="49" fontId="0" fillId="2" borderId="1" xfId="0" applyNumberFormat="1" applyFill="1" applyBorder="1"/>
    <xf numFmtId="49" fontId="1" fillId="2" borderId="1" xfId="0" applyNumberFormat="1" applyFont="1" applyFill="1" applyBorder="1"/>
    <xf numFmtId="165" fontId="0" fillId="2" borderId="1" xfId="0" applyNumberFormat="1" applyFill="1" applyBorder="1"/>
    <xf numFmtId="165" fontId="0" fillId="0" borderId="1" xfId="0" applyNumberFormat="1" applyBorder="1"/>
    <xf numFmtId="165" fontId="0" fillId="0" borderId="0" xfId="0" applyNumberFormat="1"/>
  </cellXfs>
  <cellStyles count="1">
    <cellStyle name="Standard" xfId="0" builtinId="0"/>
  </cellStyles>
  <dxfs count="3"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7864C-DE90-4AF2-8C99-3488B8C6BB0C}">
  <dimension ref="A1:G25"/>
  <sheetViews>
    <sheetView tabSelected="1" workbookViewId="0">
      <selection activeCell="D27" sqref="D27"/>
    </sheetView>
  </sheetViews>
  <sheetFormatPr baseColWidth="10" defaultRowHeight="14.4" x14ac:dyDescent="0.3"/>
  <cols>
    <col min="4" max="4" width="31.109375" bestFit="1" customWidth="1"/>
  </cols>
  <sheetData>
    <row r="1" spans="1:7" x14ac:dyDescent="0.3">
      <c r="A1" t="s">
        <v>0</v>
      </c>
    </row>
    <row r="3" spans="1:7" x14ac:dyDescent="0.3">
      <c r="B3" s="1" t="s">
        <v>2</v>
      </c>
      <c r="C3" s="1"/>
      <c r="D3" s="1"/>
      <c r="E3" s="1"/>
      <c r="F3" s="1"/>
      <c r="G3" s="1"/>
    </row>
    <row r="4" spans="1:7" x14ac:dyDescent="0.3">
      <c r="B4" s="2">
        <v>46006</v>
      </c>
      <c r="C4" s="3">
        <v>71</v>
      </c>
      <c r="D4" s="3" t="s">
        <v>1</v>
      </c>
      <c r="E4" s="3"/>
      <c r="F4" s="3"/>
      <c r="G4" s="3">
        <v>1145</v>
      </c>
    </row>
    <row r="5" spans="1:7" x14ac:dyDescent="0.3">
      <c r="B5" s="3"/>
      <c r="C5" s="3"/>
      <c r="D5" s="3"/>
      <c r="E5" s="3"/>
      <c r="F5" s="3" t="s">
        <v>13</v>
      </c>
      <c r="G5" s="3">
        <f>G4</f>
        <v>1145</v>
      </c>
    </row>
    <row r="6" spans="1:7" x14ac:dyDescent="0.3">
      <c r="B6" s="3"/>
      <c r="C6" s="3"/>
      <c r="D6" s="3"/>
      <c r="E6" s="3"/>
      <c r="F6" s="3"/>
      <c r="G6" s="3"/>
    </row>
    <row r="7" spans="1:7" x14ac:dyDescent="0.3">
      <c r="B7" s="3"/>
      <c r="C7" s="3"/>
      <c r="D7" s="3"/>
      <c r="E7" s="3"/>
      <c r="F7" s="3"/>
      <c r="G7" s="3"/>
    </row>
    <row r="8" spans="1:7" x14ac:dyDescent="0.3">
      <c r="B8" s="3" t="s">
        <v>12</v>
      </c>
      <c r="C8" s="3"/>
      <c r="D8" s="3"/>
      <c r="E8" s="3"/>
      <c r="F8" s="3"/>
      <c r="G8" s="3"/>
    </row>
    <row r="9" spans="1:7" x14ac:dyDescent="0.3">
      <c r="B9" s="2">
        <v>45978</v>
      </c>
      <c r="C9" s="4">
        <v>129</v>
      </c>
      <c r="D9" s="5" t="s">
        <v>14</v>
      </c>
      <c r="E9" s="6" t="s">
        <v>3</v>
      </c>
      <c r="F9" s="7"/>
      <c r="G9" s="7">
        <v>-40</v>
      </c>
    </row>
    <row r="10" spans="1:7" x14ac:dyDescent="0.3">
      <c r="B10" s="2">
        <v>45979</v>
      </c>
      <c r="C10" s="4">
        <v>131</v>
      </c>
      <c r="D10" s="5" t="s">
        <v>4</v>
      </c>
      <c r="E10" s="6" t="s">
        <v>3</v>
      </c>
      <c r="F10" s="7"/>
      <c r="G10" s="7">
        <v>-39.89</v>
      </c>
    </row>
    <row r="11" spans="1:7" x14ac:dyDescent="0.3">
      <c r="B11" s="2">
        <v>46002</v>
      </c>
      <c r="C11" s="4">
        <v>140</v>
      </c>
      <c r="D11" s="5" t="s">
        <v>5</v>
      </c>
      <c r="E11" s="6" t="s">
        <v>3</v>
      </c>
      <c r="F11" s="7"/>
      <c r="G11" s="7">
        <v>-35.68</v>
      </c>
    </row>
    <row r="12" spans="1:7" x14ac:dyDescent="0.3">
      <c r="B12" s="2">
        <v>46003</v>
      </c>
      <c r="C12" s="4">
        <v>141</v>
      </c>
      <c r="D12" s="5" t="s">
        <v>15</v>
      </c>
      <c r="E12" s="6" t="s">
        <v>3</v>
      </c>
      <c r="F12" s="7"/>
      <c r="G12" s="7">
        <v>-74.75</v>
      </c>
    </row>
    <row r="13" spans="1:7" x14ac:dyDescent="0.3">
      <c r="B13" s="2">
        <v>46006</v>
      </c>
      <c r="C13" s="4">
        <v>142</v>
      </c>
      <c r="D13" s="5" t="s">
        <v>6</v>
      </c>
      <c r="E13" s="6" t="s">
        <v>3</v>
      </c>
      <c r="F13" s="7"/>
      <c r="G13" s="7">
        <v>-52.82</v>
      </c>
    </row>
    <row r="14" spans="1:7" x14ac:dyDescent="0.3">
      <c r="B14" s="3" t="s">
        <v>8</v>
      </c>
      <c r="C14" s="3"/>
      <c r="D14" s="5" t="s">
        <v>7</v>
      </c>
      <c r="E14" s="3"/>
      <c r="F14" s="3"/>
      <c r="G14" s="7">
        <v>-150</v>
      </c>
    </row>
    <row r="15" spans="1:7" x14ac:dyDescent="0.3">
      <c r="B15" s="3" t="s">
        <v>9</v>
      </c>
      <c r="C15" s="3"/>
      <c r="D15" s="5" t="s">
        <v>10</v>
      </c>
      <c r="E15" s="3"/>
      <c r="F15" s="3"/>
      <c r="G15" s="7">
        <v>-30</v>
      </c>
    </row>
    <row r="16" spans="1:7" x14ac:dyDescent="0.3">
      <c r="B16" s="3" t="s">
        <v>9</v>
      </c>
      <c r="C16" s="3"/>
      <c r="D16" s="5" t="s">
        <v>11</v>
      </c>
      <c r="E16" s="3"/>
      <c r="F16" s="3"/>
      <c r="G16" s="7">
        <v>-50</v>
      </c>
    </row>
    <row r="17" spans="2:7" x14ac:dyDescent="0.3">
      <c r="B17" s="1"/>
      <c r="C17" s="1"/>
      <c r="D17" s="1"/>
      <c r="E17" s="1"/>
      <c r="F17" s="1" t="s">
        <v>13</v>
      </c>
      <c r="G17" s="8">
        <f>SUM(G9:G16)</f>
        <v>-473.14</v>
      </c>
    </row>
    <row r="23" spans="2:7" x14ac:dyDescent="0.3">
      <c r="B23" t="s">
        <v>2</v>
      </c>
      <c r="C23">
        <f>G5</f>
        <v>1145</v>
      </c>
    </row>
    <row r="24" spans="2:7" x14ac:dyDescent="0.3">
      <c r="B24" t="s">
        <v>12</v>
      </c>
      <c r="C24" s="9">
        <f>G17</f>
        <v>-473.14</v>
      </c>
    </row>
    <row r="25" spans="2:7" x14ac:dyDescent="0.3">
      <c r="B25" t="s">
        <v>13</v>
      </c>
      <c r="C25">
        <f>SUM(C23:C24)</f>
        <v>671.86</v>
      </c>
    </row>
  </sheetData>
  <conditionalFormatting sqref="B9:B10">
    <cfRule type="cellIs" dxfId="2" priority="5" stopIfTrue="1" operator="lessThan">
      <formula>0</formula>
    </cfRule>
  </conditionalFormatting>
  <conditionalFormatting sqref="E9:E13">
    <cfRule type="cellIs" dxfId="1" priority="2" stopIfTrue="1" operator="lessThan">
      <formula>0</formula>
    </cfRule>
  </conditionalFormatting>
  <dataValidations count="2">
    <dataValidation type="list" allowBlank="1" showInputMessage="1" showErrorMessage="1" sqref="E9:E11 E13" xr:uid="{143C1E33-8A4E-4A0E-92BC-368B61F10948}">
      <formula1>$L$1:$L$20</formula1>
    </dataValidation>
    <dataValidation type="list" allowBlank="1" showInputMessage="1" showErrorMessage="1" sqref="E12" xr:uid="{25020D2E-FE65-4D6E-A644-192597CD1D23}">
      <formula1>$L$1:$L$19</formula1>
    </dataValidation>
  </dataValidation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Bernd Wildner</dc:creator>
  <cp:lastModifiedBy>Bernd Wildner</cp:lastModifiedBy>
  <dcterms:created xsi:type="dcterms:W3CDTF">2025-12-26T14:29:15Z</dcterms:created>
  <dcterms:modified xsi:type="dcterms:W3CDTF">2025-12-26T15:10:54Z</dcterms:modified>
</cp:coreProperties>
</file>