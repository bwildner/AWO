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BB07A04D-8051-4F58-8C23-159DD2B29C5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Ausgaben!$B$2:$J$170</definedName>
    <definedName name="_xlnm._FilterDatabase" localSheetId="0" hidden="1">Einnahmen!$A$2:$H$112</definedName>
    <definedName name="_xlnm.Print_Area" localSheetId="1">Ausgaben!$A$1:$I$174</definedName>
    <definedName name="_xlnm.Print_Area" localSheetId="0">Einnahmen!$A$1:$H$120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5" i="1" l="1"/>
  <c r="H116" i="4" l="1"/>
  <c r="G116" i="4"/>
  <c r="E116" i="4"/>
  <c r="F116" i="4"/>
  <c r="F175" i="1"/>
  <c r="H175" i="1"/>
  <c r="I175" i="1"/>
  <c r="H118" i="4" l="1"/>
  <c r="F118" i="4"/>
  <c r="E118" i="4"/>
  <c r="G118" i="4"/>
  <c r="D120" i="4" l="1"/>
</calcChain>
</file>

<file path=xl/sharedStrings.xml><?xml version="1.0" encoding="utf-8"?>
<sst xmlns="http://schemas.openxmlformats.org/spreadsheetml/2006/main" count="563" uniqueCount="164">
  <si>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</si>
  <si>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</si>
  <si>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</si>
  <si>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</si>
  <si>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</si>
  <si>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</si>
  <si>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</si>
  <si>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</si>
  <si>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</si>
  <si>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</si>
  <si>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</si>
  <si>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</si>
  <si>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</si>
  <si>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</si>
  <si>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</si>
  <si>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</si>
  <si>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</si>
  <si>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</si>
  <si>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</si>
  <si>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</si>
  <si>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</si>
  <si>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</si>
  <si>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</si>
  <si>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</si>
  <si>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</si>
  <si>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</si>
  <si>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</si>
  <si>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</si>
  <si>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</si>
  <si>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</si>
  <si>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</si>
  <si>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</si>
  <si>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</si>
  <si>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</si>
  <si>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</si>
  <si>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</si>
  <si>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</si>
  <si>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</si>
  <si>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</si>
  <si>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</si>
  <si>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</si>
  <si>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</si>
  <si>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</si>
  <si>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</si>
  <si>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</si>
  <si>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</si>
  <si>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</si>
  <si>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</si>
  <si>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</si>
  <si>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</si>
  <si>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</si>
  <si>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</si>
  <si>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</si>
  <si>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</si>
  <si>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</si>
  <si>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</si>
  <si>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</si>
  <si>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</si>
  <si>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</si>
  <si>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</si>
  <si>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</si>
  <si>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</si>
  <si>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</si>
  <si>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</si>
  <si>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</si>
  <si>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</si>
  <si>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</si>
  <si>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</si>
  <si>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</si>
  <si>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</si>
  <si>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</si>
  <si>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</si>
  <si>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</si>
  <si>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</si>
  <si>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</si>
  <si>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</si>
  <si>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</si>
  <si>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</si>
  <si>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</si>
  <si>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</si>
  <si>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</si>
  <si>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</si>
  <si>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</si>
  <si>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</si>
  <si>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</si>
  <si>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</si>
  <si>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</si>
  <si>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</si>
  <si>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</si>
  <si>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</si>
  <si>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</si>
  <si>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</si>
  <si>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</si>
  <si>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</si>
  <si>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</si>
  <si>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</si>
  <si>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</si>
  <si>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</si>
  <si>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</si>
  <si>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</si>
  <si>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</si>
  <si>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</si>
  <si>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</si>
  <si>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</si>
  <si>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</si>
  <si>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</si>
  <si>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</si>
  <si>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</si>
  <si>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</si>
  <si>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</si>
  <si>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</si>
  <si>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</si>
  <si>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</si>
  <si>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</si>
  <si>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</si>
  <si>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</si>
  <si>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</si>
  <si>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</si>
  <si>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</si>
  <si>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</si>
  <si>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</si>
  <si>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</si>
  <si>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</si>
  <si>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</si>
  <si>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</si>
  <si>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</si>
  <si>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</si>
  <si>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</si>
  <si>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</si>
  <si>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</si>
  <si>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</si>
  <si>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</si>
  <si>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</si>
  <si>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</si>
  <si>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</si>
  <si>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</si>
  <si>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</si>
  <si>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</si>
  <si>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</si>
  <si>
    <t>Freenet Abschlussrechnung</t>
  </si>
  <si>
    <t>Trauerkarte H.Fante</t>
  </si>
  <si>
    <t>Taschen W.feier</t>
  </si>
  <si>
    <t>Abfall</t>
  </si>
  <si>
    <t>26a</t>
  </si>
  <si>
    <t>Spendenartikel Muttertagsbasteln Antonia</t>
  </si>
  <si>
    <t>spd miete</t>
  </si>
  <si>
    <t xml:space="preserve">W.feier Eine Welt </t>
  </si>
  <si>
    <t>W.markt</t>
  </si>
  <si>
    <t>Fehlüberweisung</t>
  </si>
  <si>
    <t>Fehlüberweisung Ausgleich</t>
  </si>
  <si>
    <t>Glühwein</t>
  </si>
  <si>
    <t>Umschläge</t>
  </si>
  <si>
    <t>Porto</t>
  </si>
  <si>
    <t>Briefkasten</t>
  </si>
  <si>
    <t>DNT Vermietung</t>
  </si>
  <si>
    <t>SPD Getränke</t>
  </si>
  <si>
    <t>Trauerkarte Jelic</t>
  </si>
  <si>
    <t>W.markt, Waffeln</t>
  </si>
  <si>
    <t>W.päckle</t>
  </si>
  <si>
    <t>W.markt, Glühw, Würstle</t>
  </si>
  <si>
    <t>tzgl 25.11.</t>
  </si>
  <si>
    <t>günne senioren 27.11.</t>
  </si>
  <si>
    <t>W.feier (W.Markt 1145, 795 W.feier)</t>
  </si>
  <si>
    <t>Spende W.feier Fr. Fanta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</si>
</sst>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0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5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2">
      <pivotArea field="0" type="button" dataOnly="0" labelOnly="1" outline="0" axis="axisRow" fieldPosition="0"/>
    </format>
    <format dxfId="51">
      <pivotArea dataOnly="0" labelOnly="1" fieldPosition="0">
        <references count="1">
          <reference field="0" count="0"/>
        </references>
      </pivotArea>
    </format>
    <format dxfId="50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5">
      <pivotArea field="0" type="button" dataOnly="0" labelOnly="1" outline="0" axis="axisRow" fieldPosition="0"/>
    </format>
    <format dxfId="54">
      <pivotArea dataOnly="0" labelOnly="1" fieldPosition="0">
        <references count="1">
          <reference field="0" count="0"/>
        </references>
      </pivotArea>
    </format>
    <format dxfId="53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1"/>
  <sheetViews>
    <sheetView showGridLines="0" tabSelected="1" zoomScaleNormal="100" workbookViewId="0">
      <pane ySplit="2" topLeftCell="A55" activePane="bottomLeft" state="frozen"/>
      <selection pane="bottomLeft" activeCell="F82" sqref="F82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48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50</v>
      </c>
      <c r="D4" s="18" t="s">
        <v>0</v>
      </c>
      <c r="E4" s="19"/>
      <c r="F4" s="20">
        <v>43</v>
      </c>
      <c r="G4" s="17"/>
      <c r="H4" s="80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81" t="s">
        <v>46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81" t="s">
        <v>46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55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56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81" t="s">
        <v>46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59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81" t="s">
        <v>46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61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61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62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67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46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70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72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46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77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46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78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86</v>
      </c>
      <c r="C23" s="3" t="s">
        <v>87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79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80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81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83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46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46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89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45787</v>
      </c>
      <c r="B31" s="15" t="s">
        <v>143</v>
      </c>
      <c r="C31" s="3" t="s">
        <v>144</v>
      </c>
      <c r="D31" s="18" t="s">
        <v>12</v>
      </c>
      <c r="E31" s="19"/>
      <c r="F31" s="20">
        <v>0</v>
      </c>
      <c r="G31" s="17"/>
      <c r="H31" s="17"/>
      <c r="I31" s="2"/>
      <c r="J31" s="2"/>
    </row>
    <row r="32" spans="1:10" s="1" customFormat="1" ht="15" customHeight="1" x14ac:dyDescent="0.3">
      <c r="A32" s="14">
        <v>45789</v>
      </c>
      <c r="B32" s="15">
        <v>27</v>
      </c>
      <c r="C32" s="3" t="s">
        <v>90</v>
      </c>
      <c r="D32" s="18" t="s">
        <v>0</v>
      </c>
      <c r="E32" s="19"/>
      <c r="F32" s="20">
        <v>10</v>
      </c>
      <c r="G32" s="17"/>
      <c r="H32" s="17"/>
      <c r="I32" s="2"/>
      <c r="J32" s="2"/>
    </row>
    <row r="33" spans="1:10" s="1" customFormat="1" ht="15" customHeight="1" x14ac:dyDescent="0.3">
      <c r="A33" s="14">
        <v>45790</v>
      </c>
      <c r="B33" s="15">
        <v>28</v>
      </c>
      <c r="C33" s="3" t="s">
        <v>91</v>
      </c>
      <c r="D33" s="18" t="s">
        <v>0</v>
      </c>
      <c r="E33" s="19"/>
      <c r="F33" s="20">
        <v>38</v>
      </c>
      <c r="G33" s="17"/>
      <c r="H33" s="17"/>
      <c r="I33" s="2"/>
      <c r="J33" s="2"/>
    </row>
    <row r="34" spans="1:10" s="1" customFormat="1" ht="15" customHeight="1" x14ac:dyDescent="0.3">
      <c r="A34" s="14">
        <v>45791</v>
      </c>
      <c r="B34" s="15">
        <v>29</v>
      </c>
      <c r="C34" s="15" t="s">
        <v>46</v>
      </c>
      <c r="D34" s="18" t="s">
        <v>0</v>
      </c>
      <c r="E34" s="19"/>
      <c r="F34" s="20">
        <v>131</v>
      </c>
      <c r="G34" s="17"/>
      <c r="H34" s="17"/>
      <c r="I34" s="2"/>
      <c r="J34" s="2"/>
    </row>
    <row r="35" spans="1:10" s="1" customFormat="1" ht="15" customHeight="1" x14ac:dyDescent="0.3">
      <c r="A35" s="14">
        <v>45793</v>
      </c>
      <c r="B35" s="15" t="s">
        <v>92</v>
      </c>
      <c r="C35" s="15" t="s">
        <v>93</v>
      </c>
      <c r="D35" s="18" t="s">
        <v>0</v>
      </c>
      <c r="E35" s="16"/>
      <c r="F35" s="17">
        <v>136.52000000000001</v>
      </c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30</v>
      </c>
      <c r="C36" s="15" t="s">
        <v>88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31</v>
      </c>
      <c r="C37" s="15" t="s">
        <v>88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32</v>
      </c>
      <c r="C38" s="15" t="s">
        <v>88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33</v>
      </c>
      <c r="C39" s="15" t="s">
        <v>88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15">
        <v>34</v>
      </c>
      <c r="C40" s="15" t="s">
        <v>88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48">
        <v>35</v>
      </c>
      <c r="C41" s="15" t="s">
        <v>88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45801</v>
      </c>
      <c r="B42" s="15">
        <v>36</v>
      </c>
      <c r="C42" s="37" t="s">
        <v>96</v>
      </c>
      <c r="D42" s="18" t="s">
        <v>12</v>
      </c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>
        <v>45803</v>
      </c>
      <c r="B43" s="15">
        <v>37</v>
      </c>
      <c r="C43" s="37" t="s">
        <v>97</v>
      </c>
      <c r="D43" s="18" t="s">
        <v>0</v>
      </c>
      <c r="E43" s="16"/>
      <c r="F43" s="17">
        <v>85</v>
      </c>
      <c r="G43" s="17"/>
      <c r="H43" s="17"/>
      <c r="I43" s="2"/>
      <c r="J43" s="2"/>
    </row>
    <row r="44" spans="1:10" s="1" customFormat="1" ht="15" customHeight="1" x14ac:dyDescent="0.3">
      <c r="A44" s="14">
        <v>45801</v>
      </c>
      <c r="B44" s="15">
        <v>38</v>
      </c>
      <c r="C44" s="15" t="s">
        <v>88</v>
      </c>
      <c r="D44" s="18" t="s">
        <v>12</v>
      </c>
      <c r="E44" s="16"/>
      <c r="F44" s="17"/>
      <c r="G44" s="17"/>
      <c r="H44" s="17"/>
      <c r="I44" s="2"/>
      <c r="J44" s="2"/>
    </row>
    <row r="45" spans="1:10" s="1" customFormat="1" ht="15" customHeight="1" x14ac:dyDescent="0.3">
      <c r="A45" s="14">
        <v>45804</v>
      </c>
      <c r="B45" s="48">
        <v>39</v>
      </c>
      <c r="C45" s="37" t="s">
        <v>98</v>
      </c>
      <c r="D45" s="18" t="s">
        <v>0</v>
      </c>
      <c r="E45" s="19"/>
      <c r="F45" s="20"/>
      <c r="G45" s="17"/>
      <c r="H45" s="17">
        <v>20</v>
      </c>
      <c r="I45" s="2"/>
      <c r="J45" s="2"/>
    </row>
    <row r="46" spans="1:10" s="1" customFormat="1" ht="15" customHeight="1" x14ac:dyDescent="0.3">
      <c r="A46" s="14">
        <v>45810</v>
      </c>
      <c r="B46" s="15">
        <v>40</v>
      </c>
      <c r="C46" s="3" t="s">
        <v>46</v>
      </c>
      <c r="D46" s="18" t="s">
        <v>0</v>
      </c>
      <c r="E46" s="19"/>
      <c r="F46" s="20">
        <v>101</v>
      </c>
      <c r="G46" s="17"/>
      <c r="H46" s="17"/>
      <c r="I46" s="2"/>
      <c r="J46" s="2"/>
    </row>
    <row r="47" spans="1:10" s="1" customFormat="1" ht="15" customHeight="1" x14ac:dyDescent="0.3">
      <c r="A47" s="14">
        <v>45831</v>
      </c>
      <c r="B47" s="15">
        <v>41</v>
      </c>
      <c r="C47" s="3" t="s">
        <v>105</v>
      </c>
      <c r="D47" s="18" t="s">
        <v>12</v>
      </c>
      <c r="E47" s="19"/>
      <c r="F47" s="20">
        <v>50</v>
      </c>
      <c r="G47" s="17"/>
      <c r="H47" s="17"/>
      <c r="I47" s="2"/>
      <c r="J47" s="2"/>
    </row>
    <row r="48" spans="1:10" s="1" customFormat="1" ht="15" customHeight="1" x14ac:dyDescent="0.3">
      <c r="A48" s="14">
        <v>45833</v>
      </c>
      <c r="B48" s="15">
        <v>42</v>
      </c>
      <c r="C48" s="3" t="s">
        <v>106</v>
      </c>
      <c r="D48" s="18" t="s">
        <v>25</v>
      </c>
      <c r="E48" s="16"/>
      <c r="F48" s="17">
        <v>26.54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43</v>
      </c>
      <c r="C49" s="3" t="s">
        <v>46</v>
      </c>
      <c r="D49" s="18" t="s">
        <v>0</v>
      </c>
      <c r="E49" s="19"/>
      <c r="F49" s="20">
        <v>148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44</v>
      </c>
      <c r="C50" s="3" t="s">
        <v>101</v>
      </c>
      <c r="D50" s="18" t="s">
        <v>13</v>
      </c>
      <c r="E50" s="16"/>
      <c r="F50" s="17">
        <v>65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45</v>
      </c>
      <c r="C51" s="3" t="s">
        <v>110</v>
      </c>
      <c r="D51" s="18" t="s">
        <v>13</v>
      </c>
      <c r="E51" s="16"/>
      <c r="F51" s="17">
        <v>300</v>
      </c>
      <c r="G51" s="17"/>
      <c r="H51" s="17"/>
      <c r="I51" s="2"/>
      <c r="J51" s="2"/>
    </row>
    <row r="52" spans="1:10" s="1" customFormat="1" ht="15" customHeight="1" x14ac:dyDescent="0.3">
      <c r="A52" s="14">
        <v>45838</v>
      </c>
      <c r="B52" s="15">
        <v>46</v>
      </c>
      <c r="C52" s="3" t="s">
        <v>46</v>
      </c>
      <c r="D52" s="18" t="s">
        <v>0</v>
      </c>
      <c r="E52" s="19"/>
      <c r="F52" s="20">
        <v>78</v>
      </c>
      <c r="G52" s="17"/>
      <c r="H52" s="17"/>
      <c r="I52" s="2"/>
      <c r="J52" s="2"/>
    </row>
    <row r="53" spans="1:10" s="1" customFormat="1" ht="15" customHeight="1" x14ac:dyDescent="0.3">
      <c r="A53" s="14">
        <v>45840</v>
      </c>
      <c r="B53" s="15">
        <v>47</v>
      </c>
      <c r="C53" s="3" t="s">
        <v>111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45844</v>
      </c>
      <c r="B54" s="15" t="s">
        <v>123</v>
      </c>
      <c r="C54" s="3" t="s">
        <v>122</v>
      </c>
      <c r="D54" s="18" t="s">
        <v>12</v>
      </c>
      <c r="E54" s="16"/>
      <c r="F54" s="17">
        <v>0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48</v>
      </c>
      <c r="C55" s="3" t="s">
        <v>113</v>
      </c>
      <c r="D55" s="18" t="s">
        <v>12</v>
      </c>
      <c r="E55" s="19"/>
      <c r="F55" s="17">
        <v>59</v>
      </c>
      <c r="G55" s="17"/>
      <c r="H55" s="17"/>
      <c r="I55" s="2"/>
      <c r="J55" s="2"/>
    </row>
    <row r="56" spans="1:10" s="1" customFormat="1" ht="15" customHeight="1" x14ac:dyDescent="0.3">
      <c r="A56" s="14">
        <v>45845</v>
      </c>
      <c r="B56" s="15">
        <v>49</v>
      </c>
      <c r="C56" s="3" t="s">
        <v>114</v>
      </c>
      <c r="D56" s="18" t="s">
        <v>0</v>
      </c>
      <c r="E56" s="19"/>
      <c r="F56" s="20"/>
      <c r="G56" s="17"/>
      <c r="H56" s="17">
        <v>1131</v>
      </c>
      <c r="I56" s="2"/>
      <c r="J56" s="2"/>
    </row>
    <row r="57" spans="1:10" s="1" customFormat="1" ht="15" customHeight="1" x14ac:dyDescent="0.3">
      <c r="A57" s="14">
        <v>45848</v>
      </c>
      <c r="B57" s="15" t="s">
        <v>133</v>
      </c>
      <c r="C57" s="3" t="s">
        <v>125</v>
      </c>
      <c r="D57" s="18" t="s">
        <v>0</v>
      </c>
      <c r="E57" s="16"/>
      <c r="F57" s="17"/>
      <c r="G57" s="17"/>
      <c r="H57" s="17">
        <v>75</v>
      </c>
      <c r="I57" s="2"/>
      <c r="J57" s="2"/>
    </row>
    <row r="58" spans="1:10" s="1" customFormat="1" ht="15" customHeight="1" x14ac:dyDescent="0.3">
      <c r="A58" s="14">
        <v>45853</v>
      </c>
      <c r="B58" s="15">
        <v>50</v>
      </c>
      <c r="C58" s="3" t="s">
        <v>117</v>
      </c>
      <c r="D58" s="18" t="s">
        <v>12</v>
      </c>
      <c r="E58" s="16"/>
      <c r="F58" s="17">
        <v>80</v>
      </c>
      <c r="G58" s="17"/>
      <c r="H58" s="17"/>
      <c r="I58" s="2"/>
      <c r="J58" s="2"/>
    </row>
    <row r="59" spans="1:10" s="1" customFormat="1" ht="15" customHeight="1" x14ac:dyDescent="0.3">
      <c r="A59" s="14">
        <v>45861</v>
      </c>
      <c r="B59" s="15">
        <v>51</v>
      </c>
      <c r="C59" s="3" t="s">
        <v>119</v>
      </c>
      <c r="D59" s="18" t="s">
        <v>25</v>
      </c>
      <c r="E59" s="16"/>
      <c r="F59" s="17">
        <v>1339.8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52</v>
      </c>
      <c r="C60" s="3" t="s">
        <v>120</v>
      </c>
      <c r="D60" s="18" t="s">
        <v>12</v>
      </c>
      <c r="E60" s="16"/>
      <c r="F60" s="17">
        <v>45</v>
      </c>
      <c r="G60" s="17"/>
      <c r="H60" s="17"/>
      <c r="I60" s="2"/>
      <c r="J60" s="2"/>
    </row>
    <row r="61" spans="1:10" s="1" customFormat="1" ht="15" customHeight="1" x14ac:dyDescent="0.3">
      <c r="A61" s="14">
        <v>45866</v>
      </c>
      <c r="B61" s="15">
        <v>53</v>
      </c>
      <c r="C61" s="3" t="s">
        <v>121</v>
      </c>
      <c r="D61" s="18" t="s">
        <v>12</v>
      </c>
      <c r="E61" s="16"/>
      <c r="F61" s="17">
        <v>15</v>
      </c>
      <c r="G61" s="17"/>
      <c r="H61" s="17"/>
      <c r="I61" s="2"/>
      <c r="J61" s="2"/>
    </row>
    <row r="62" spans="1:10" s="1" customFormat="1" ht="15" customHeight="1" x14ac:dyDescent="0.3">
      <c r="A62" s="14">
        <v>45868</v>
      </c>
      <c r="B62" s="15">
        <v>54</v>
      </c>
      <c r="C62" s="3" t="s">
        <v>125</v>
      </c>
      <c r="D62" s="18" t="s">
        <v>0</v>
      </c>
      <c r="E62" s="16"/>
      <c r="F62" s="17">
        <v>110</v>
      </c>
      <c r="G62" s="17"/>
      <c r="H62" s="17"/>
      <c r="I62" s="2"/>
      <c r="J62" s="2"/>
    </row>
    <row r="63" spans="1:10" s="1" customFormat="1" ht="15" customHeight="1" x14ac:dyDescent="0.3">
      <c r="A63" s="14">
        <v>45869</v>
      </c>
      <c r="B63" s="15">
        <v>55</v>
      </c>
      <c r="C63" s="3" t="s">
        <v>126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45876</v>
      </c>
      <c r="B64" s="15">
        <v>56</v>
      </c>
      <c r="C64" s="3" t="s">
        <v>126</v>
      </c>
      <c r="D64" s="18" t="s">
        <v>0</v>
      </c>
      <c r="E64" s="19"/>
      <c r="F64" s="17">
        <v>15</v>
      </c>
      <c r="G64" s="17"/>
      <c r="H64" s="17"/>
      <c r="I64" s="2"/>
      <c r="J64" s="2"/>
    </row>
    <row r="65" spans="1:10" s="1" customFormat="1" ht="15" customHeight="1" x14ac:dyDescent="0.3">
      <c r="A65" s="14">
        <v>45877</v>
      </c>
      <c r="B65" s="15">
        <v>57</v>
      </c>
      <c r="C65" s="3" t="s">
        <v>130</v>
      </c>
      <c r="D65" s="18" t="s">
        <v>13</v>
      </c>
      <c r="E65" s="16"/>
      <c r="F65" s="17">
        <v>250</v>
      </c>
      <c r="G65" s="17"/>
      <c r="H65" s="17"/>
      <c r="I65" s="2"/>
      <c r="J65" s="2"/>
    </row>
    <row r="66" spans="1:10" s="1" customFormat="1" ht="15" customHeight="1" x14ac:dyDescent="0.3">
      <c r="A66" s="14">
        <v>45887</v>
      </c>
      <c r="B66" s="15" t="s">
        <v>132</v>
      </c>
      <c r="C66" s="3" t="s">
        <v>125</v>
      </c>
      <c r="D66" s="18" t="s">
        <v>0</v>
      </c>
      <c r="E66" s="16"/>
      <c r="F66" s="17"/>
      <c r="G66" s="17"/>
      <c r="H66" s="17">
        <v>138</v>
      </c>
      <c r="I66" s="2"/>
      <c r="J66" s="2"/>
    </row>
    <row r="67" spans="1:10" s="1" customFormat="1" ht="15" customHeight="1" x14ac:dyDescent="0.3">
      <c r="A67" s="14">
        <v>45898</v>
      </c>
      <c r="B67" s="48">
        <v>58</v>
      </c>
      <c r="C67" s="3" t="s">
        <v>125</v>
      </c>
      <c r="D67" s="18" t="s">
        <v>0</v>
      </c>
      <c r="E67" s="16"/>
      <c r="F67" s="17">
        <v>160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59</v>
      </c>
      <c r="C68" s="3" t="s">
        <v>125</v>
      </c>
      <c r="D68" s="18" t="s">
        <v>0</v>
      </c>
      <c r="E68" s="16"/>
      <c r="F68" s="17">
        <v>128</v>
      </c>
      <c r="G68" s="17"/>
      <c r="H68" s="17"/>
      <c r="I68" s="2"/>
      <c r="J68" s="2"/>
    </row>
    <row r="69" spans="1:10" s="1" customFormat="1" ht="15" customHeight="1" x14ac:dyDescent="0.3">
      <c r="A69" s="14">
        <v>45936</v>
      </c>
      <c r="B69" s="48">
        <v>60</v>
      </c>
      <c r="C69" s="37" t="s">
        <v>137</v>
      </c>
      <c r="D69" s="18" t="s">
        <v>0</v>
      </c>
      <c r="E69" s="16"/>
      <c r="F69" s="17"/>
      <c r="G69" s="17"/>
      <c r="H69" s="17">
        <v>20</v>
      </c>
      <c r="I69" s="2"/>
      <c r="J69" s="2"/>
    </row>
    <row r="70" spans="1:10" s="1" customFormat="1" ht="15" customHeight="1" x14ac:dyDescent="0.3">
      <c r="A70" s="14">
        <v>45945</v>
      </c>
      <c r="B70" s="48">
        <v>61</v>
      </c>
      <c r="C70" s="3" t="s">
        <v>46</v>
      </c>
      <c r="D70" s="18" t="s">
        <v>0</v>
      </c>
      <c r="E70" s="16"/>
      <c r="F70" s="17"/>
      <c r="G70" s="17"/>
      <c r="H70" s="17">
        <v>76</v>
      </c>
      <c r="I70" s="2"/>
      <c r="J70" s="2"/>
    </row>
    <row r="71" spans="1:10" s="1" customFormat="1" ht="15" customHeight="1" x14ac:dyDescent="0.3">
      <c r="A71" s="14">
        <v>45964</v>
      </c>
      <c r="B71" s="48">
        <v>62</v>
      </c>
      <c r="C71" s="3" t="s">
        <v>46</v>
      </c>
      <c r="D71" s="18" t="s">
        <v>0</v>
      </c>
      <c r="E71" s="16"/>
      <c r="F71" s="17">
        <v>104</v>
      </c>
      <c r="G71" s="17"/>
      <c r="H71" s="17"/>
      <c r="I71" s="2"/>
      <c r="J71" s="2"/>
    </row>
    <row r="72" spans="1:10" s="1" customFormat="1" ht="15" customHeight="1" x14ac:dyDescent="0.3">
      <c r="A72" s="14">
        <v>45975</v>
      </c>
      <c r="B72" s="15">
        <v>63</v>
      </c>
      <c r="C72" s="15" t="s">
        <v>46</v>
      </c>
      <c r="D72" s="18" t="s">
        <v>0</v>
      </c>
      <c r="E72" s="16"/>
      <c r="F72" s="17"/>
      <c r="G72" s="17"/>
      <c r="H72" s="17">
        <v>60</v>
      </c>
      <c r="I72" s="2"/>
      <c r="J72" s="2"/>
    </row>
    <row r="73" spans="1:10" s="1" customFormat="1" ht="15" customHeight="1" x14ac:dyDescent="0.3">
      <c r="A73" s="14">
        <v>45979</v>
      </c>
      <c r="B73" s="48">
        <v>64</v>
      </c>
      <c r="C73" s="37" t="s">
        <v>149</v>
      </c>
      <c r="D73" s="18" t="s">
        <v>27</v>
      </c>
      <c r="E73" s="16"/>
      <c r="F73" s="17">
        <v>8</v>
      </c>
      <c r="G73" s="17"/>
      <c r="H73" s="17"/>
      <c r="I73" s="2"/>
      <c r="J73" s="2"/>
    </row>
    <row r="74" spans="1:10" s="1" customFormat="1" ht="15" customHeight="1" x14ac:dyDescent="0.3">
      <c r="A74" s="14">
        <v>45982</v>
      </c>
      <c r="B74" s="15">
        <v>65</v>
      </c>
      <c r="C74" s="15" t="s">
        <v>154</v>
      </c>
      <c r="D74" s="18" t="s">
        <v>0</v>
      </c>
      <c r="E74" s="16"/>
      <c r="F74" s="17">
        <v>168</v>
      </c>
      <c r="G74" s="17"/>
      <c r="H74" s="17"/>
      <c r="I74" s="2"/>
      <c r="J74" s="2"/>
    </row>
    <row r="75" spans="1:10" s="1" customFormat="1" ht="15" customHeight="1" x14ac:dyDescent="0.3">
      <c r="A75" s="14">
        <v>45982</v>
      </c>
      <c r="B75" s="15">
        <v>66</v>
      </c>
      <c r="C75" s="15" t="s">
        <v>155</v>
      </c>
      <c r="D75" s="18" t="s">
        <v>0</v>
      </c>
      <c r="E75" s="16"/>
      <c r="F75" s="17">
        <v>15</v>
      </c>
      <c r="G75" s="17"/>
      <c r="H75" s="17"/>
      <c r="I75" s="2"/>
      <c r="J75" s="2"/>
    </row>
    <row r="76" spans="1:10" s="1" customFormat="1" ht="15" customHeight="1" x14ac:dyDescent="0.3">
      <c r="A76" s="14">
        <v>45985</v>
      </c>
      <c r="B76" s="15">
        <v>67</v>
      </c>
      <c r="C76" s="15" t="s">
        <v>145</v>
      </c>
      <c r="D76" s="18" t="s">
        <v>0</v>
      </c>
      <c r="E76" s="16"/>
      <c r="F76" s="17"/>
      <c r="G76" s="17"/>
      <c r="H76" s="17">
        <v>20</v>
      </c>
      <c r="I76" s="2"/>
      <c r="J76" s="2"/>
    </row>
    <row r="77" spans="1:10" s="1" customFormat="1" ht="15" customHeight="1" x14ac:dyDescent="0.3">
      <c r="A77" s="14">
        <v>45993</v>
      </c>
      <c r="B77" s="15">
        <v>68</v>
      </c>
      <c r="C77" s="15" t="s">
        <v>160</v>
      </c>
      <c r="D77" s="18" t="s">
        <v>0</v>
      </c>
      <c r="E77" s="19"/>
      <c r="F77" s="17"/>
      <c r="G77" s="17"/>
      <c r="H77" s="17">
        <v>103</v>
      </c>
      <c r="I77" s="2"/>
      <c r="J77" s="2"/>
    </row>
    <row r="78" spans="1:10" s="1" customFormat="1" ht="15" customHeight="1" x14ac:dyDescent="0.3">
      <c r="A78" s="14">
        <v>45993</v>
      </c>
      <c r="B78" s="15">
        <v>69</v>
      </c>
      <c r="C78" s="15" t="s">
        <v>161</v>
      </c>
      <c r="D78" s="18" t="s">
        <v>0</v>
      </c>
      <c r="E78" s="16"/>
      <c r="F78" s="17"/>
      <c r="G78" s="17"/>
      <c r="H78" s="17">
        <v>70</v>
      </c>
      <c r="I78" s="2"/>
      <c r="J78" s="2"/>
    </row>
    <row r="79" spans="1:10" s="1" customFormat="1" ht="15" customHeight="1" x14ac:dyDescent="0.3">
      <c r="A79" s="14">
        <v>46006</v>
      </c>
      <c r="B79" s="15">
        <v>70</v>
      </c>
      <c r="C79" s="15" t="s">
        <v>46</v>
      </c>
      <c r="D79" s="18" t="s">
        <v>0</v>
      </c>
      <c r="E79" s="16"/>
      <c r="F79" s="17"/>
      <c r="G79" s="17"/>
      <c r="H79" s="17">
        <v>104</v>
      </c>
      <c r="I79" s="2"/>
      <c r="J79" s="2"/>
    </row>
    <row r="80" spans="1:10" s="1" customFormat="1" ht="15" customHeight="1" x14ac:dyDescent="0.3">
      <c r="A80" s="14">
        <v>46006</v>
      </c>
      <c r="B80" s="15">
        <v>71</v>
      </c>
      <c r="C80" s="15" t="s">
        <v>162</v>
      </c>
      <c r="D80" s="18" t="s">
        <v>0</v>
      </c>
      <c r="E80" s="16"/>
      <c r="F80" s="17"/>
      <c r="G80" s="17"/>
      <c r="H80" s="17">
        <v>1940</v>
      </c>
      <c r="I80" s="2"/>
      <c r="J80" s="2"/>
    </row>
    <row r="81" spans="1:10" s="1" customFormat="1" ht="15" customHeight="1" x14ac:dyDescent="0.3">
      <c r="A81" s="14">
        <v>46014</v>
      </c>
      <c r="B81" s="15">
        <v>72</v>
      </c>
      <c r="C81" s="15" t="s">
        <v>163</v>
      </c>
      <c r="D81" s="18" t="s">
        <v>0</v>
      </c>
      <c r="E81" s="16"/>
      <c r="F81" s="17">
        <v>100</v>
      </c>
      <c r="G81" s="17"/>
      <c r="H81" s="17"/>
      <c r="I81" s="2"/>
      <c r="J81" s="2"/>
    </row>
    <row r="82" spans="1:10" s="1" customFormat="1" ht="15" customHeight="1" x14ac:dyDescent="0.3">
      <c r="A82" s="14"/>
      <c r="B82" s="15">
        <v>73</v>
      </c>
      <c r="C82" s="15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15">
        <v>74</v>
      </c>
      <c r="C83" s="15"/>
      <c r="D83" s="18"/>
      <c r="E83" s="16"/>
      <c r="F83" s="17"/>
      <c r="G83" s="17"/>
      <c r="H83" s="17"/>
      <c r="I83" s="2"/>
      <c r="J83" s="2"/>
    </row>
    <row r="84" spans="1:10" s="1" customFormat="1" ht="15" customHeight="1" x14ac:dyDescent="0.3">
      <c r="A84" s="14"/>
      <c r="B84" s="15">
        <v>75</v>
      </c>
      <c r="C84" s="15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76</v>
      </c>
      <c r="C85" s="37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77</v>
      </c>
      <c r="C86" s="3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78</v>
      </c>
      <c r="C87" s="3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48">
        <v>79</v>
      </c>
      <c r="C88" s="50"/>
      <c r="D88" s="18"/>
      <c r="E88" s="51"/>
      <c r="F88" s="20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80</v>
      </c>
      <c r="C89" s="50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81</v>
      </c>
      <c r="C90" s="50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82</v>
      </c>
      <c r="C91" s="50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83</v>
      </c>
      <c r="C92" s="50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15">
        <v>84</v>
      </c>
      <c r="C93" s="15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85</v>
      </c>
      <c r="C94" s="3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86</v>
      </c>
      <c r="C95" s="3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87</v>
      </c>
      <c r="C96" s="3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88</v>
      </c>
      <c r="C97" s="3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48">
        <v>89</v>
      </c>
      <c r="C98" s="37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90</v>
      </c>
      <c r="C99" s="15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91</v>
      </c>
      <c r="C100" s="15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92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93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94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95</v>
      </c>
      <c r="C104" s="37"/>
      <c r="D104" s="18"/>
      <c r="E104" s="20"/>
      <c r="F104" s="20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96</v>
      </c>
      <c r="C105" s="37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97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98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99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100</v>
      </c>
      <c r="C109" s="15"/>
      <c r="D109" s="18"/>
      <c r="E109" s="16"/>
      <c r="F109" s="17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101</v>
      </c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102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>
        <v>103</v>
      </c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/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/>
      <c r="C114" s="15"/>
      <c r="D114" s="18"/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14"/>
      <c r="B115" s="15"/>
      <c r="C115" s="15"/>
      <c r="D115" s="18"/>
      <c r="E115" s="16"/>
      <c r="F115" s="17"/>
      <c r="G115" s="17"/>
      <c r="H115" s="17"/>
      <c r="I115" s="2" t="s">
        <v>31</v>
      </c>
      <c r="J115" s="2"/>
    </row>
    <row r="116" spans="1:10" s="1" customFormat="1" ht="15" customHeight="1" x14ac:dyDescent="0.3">
      <c r="A116" s="22" t="s">
        <v>15</v>
      </c>
      <c r="B116" s="23"/>
      <c r="C116" s="23"/>
      <c r="D116" s="24"/>
      <c r="E116" s="25">
        <f>SUM(E3:E115)</f>
        <v>1105</v>
      </c>
      <c r="F116" s="26">
        <f>SUM(F3:F115)</f>
        <v>10652.430000000022</v>
      </c>
      <c r="G116" s="26">
        <f>SUM(G3:G115)</f>
        <v>2000.5</v>
      </c>
      <c r="H116" s="26">
        <f>SUM(H3:H115)</f>
        <v>4119.9999999999991</v>
      </c>
      <c r="I116" s="2"/>
      <c r="J116" s="2"/>
    </row>
    <row r="117" spans="1:10" s="1" customFormat="1" ht="15" customHeight="1" x14ac:dyDescent="0.3">
      <c r="A117" s="33"/>
      <c r="B117" s="33"/>
      <c r="C117" s="33"/>
      <c r="D117" s="33"/>
      <c r="E117" s="34"/>
      <c r="F117" s="34"/>
      <c r="G117" s="34"/>
      <c r="H117" s="34"/>
      <c r="I117" s="2"/>
      <c r="J117" s="2"/>
    </row>
    <row r="118" spans="1:10" s="1" customFormat="1" ht="15" customHeight="1" x14ac:dyDescent="0.3">
      <c r="A118" s="22" t="s">
        <v>16</v>
      </c>
      <c r="B118" s="23"/>
      <c r="C118" s="23"/>
      <c r="D118" s="45"/>
      <c r="E118" s="26">
        <f>E116+Ausgaben!F175</f>
        <v>0</v>
      </c>
      <c r="F118" s="26">
        <f>F116+Ausgaben!G175</f>
        <v>896.7800000000243</v>
      </c>
      <c r="G118" s="26">
        <f>G116+Ausgaben!H175</f>
        <v>2000.5</v>
      </c>
      <c r="H118" s="26">
        <f>H116+Ausgaben!I175</f>
        <v>3950.9699999999989</v>
      </c>
      <c r="I118" s="2"/>
      <c r="J118" s="2"/>
    </row>
    <row r="119" spans="1:10" s="1" customFormat="1" ht="15" customHeight="1" x14ac:dyDescent="0.3">
      <c r="A119" s="35"/>
      <c r="B119" s="35"/>
      <c r="C119" s="35"/>
      <c r="D119" s="35"/>
      <c r="E119" s="13"/>
      <c r="F119" s="13"/>
      <c r="G119" s="13"/>
      <c r="H119" s="13"/>
      <c r="I119" s="2"/>
      <c r="J119" s="2"/>
    </row>
    <row r="120" spans="1:10" s="1" customFormat="1" ht="15" customHeight="1" x14ac:dyDescent="0.3">
      <c r="A120" s="5" t="s">
        <v>17</v>
      </c>
      <c r="B120" s="5"/>
      <c r="C120" s="22"/>
      <c r="D120" s="27">
        <f>SUM(E118:H118)</f>
        <v>6848.2500000000236</v>
      </c>
      <c r="E120" s="16"/>
      <c r="F120" s="17"/>
      <c r="G120" s="17"/>
      <c r="H120" s="17"/>
      <c r="I120" s="2"/>
      <c r="J120" s="2"/>
    </row>
    <row r="121" spans="1:10" s="1" customFormat="1" ht="15" customHeight="1" x14ac:dyDescent="0.3">
      <c r="A121" s="36"/>
      <c r="B121" s="36"/>
      <c r="C121" s="36"/>
      <c r="D121" s="36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 t="s">
        <v>43</v>
      </c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s="1" customFormat="1" ht="15" customHeight="1" x14ac:dyDescent="0.3">
      <c r="A180" s="2"/>
      <c r="B180" s="2"/>
      <c r="C180" s="2"/>
      <c r="D180" s="2"/>
      <c r="E180" s="17"/>
      <c r="F180" s="17"/>
      <c r="G180" s="17"/>
      <c r="H180" s="17"/>
      <c r="I180" s="2"/>
      <c r="J180" s="2"/>
    </row>
    <row r="181" spans="1:10" ht="15" customHeight="1" x14ac:dyDescent="0.3">
      <c r="J181" s="2"/>
    </row>
  </sheetData>
  <autoFilter ref="A2:H112" xr:uid="{00000000-0009-0000-0000-000000000000}"/>
  <mergeCells count="1">
    <mergeCell ref="A1:H1"/>
  </mergeCells>
  <conditionalFormatting sqref="A99:A102">
    <cfRule type="cellIs" dxfId="49" priority="53" stopIfTrue="1" operator="lessThan">
      <formula>0</formula>
    </cfRule>
  </conditionalFormatting>
  <conditionalFormatting sqref="B88">
    <cfRule type="cellIs" dxfId="48" priority="195" stopIfTrue="1" operator="lessThan">
      <formula>0</formula>
    </cfRule>
  </conditionalFormatting>
  <conditionalFormatting sqref="C104:D105">
    <cfRule type="cellIs" dxfId="47" priority="48" stopIfTrue="1" operator="lessThan">
      <formula>0</formula>
    </cfRule>
  </conditionalFormatting>
  <conditionalFormatting sqref="D4:D72">
    <cfRule type="cellIs" dxfId="46" priority="3" stopIfTrue="1" operator="lessThan">
      <formula>0</formula>
    </cfRule>
  </conditionalFormatting>
  <conditionalFormatting sqref="D74:D82">
    <cfRule type="cellIs" dxfId="45" priority="2" stopIfTrue="1" operator="lessThan">
      <formula>0</formula>
    </cfRule>
  </conditionalFormatting>
  <conditionalFormatting sqref="D88:D94">
    <cfRule type="cellIs" dxfId="44" priority="12" stopIfTrue="1" operator="lessThan">
      <formula>0</formula>
    </cfRule>
  </conditionalFormatting>
  <conditionalFormatting sqref="D87:F87">
    <cfRule type="cellIs" dxfId="43" priority="13" stopIfTrue="1" operator="lessThan">
      <formula>0</formula>
    </cfRule>
  </conditionalFormatting>
  <conditionalFormatting sqref="D73:G73 E74:G76 G87:G88">
    <cfRule type="cellIs" dxfId="42" priority="67" stopIfTrue="1" operator="lessThan">
      <formula>0</formula>
    </cfRule>
  </conditionalFormatting>
  <conditionalFormatting sqref="D83:G86 E79:G82">
    <cfRule type="cellIs" dxfId="41" priority="14" stopIfTrue="1" operator="lessThan">
      <formula>0</formula>
    </cfRule>
  </conditionalFormatting>
  <conditionalFormatting sqref="D106:G115">
    <cfRule type="cellIs" dxfId="40" priority="46" stopIfTrue="1" operator="lessThan">
      <formula>0</formula>
    </cfRule>
  </conditionalFormatting>
  <conditionalFormatting sqref="E24">
    <cfRule type="cellIs" dxfId="39" priority="73" stopIfTrue="1" operator="lessThan">
      <formula>0</formula>
    </cfRule>
  </conditionalFormatting>
  <conditionalFormatting sqref="E35:F39">
    <cfRule type="cellIs" dxfId="38" priority="37" stopIfTrue="1" operator="lessThan">
      <formula>0</formula>
    </cfRule>
  </conditionalFormatting>
  <conditionalFormatting sqref="E43:F44">
    <cfRule type="cellIs" dxfId="37" priority="11" stopIfTrue="1" operator="lessThan">
      <formula>0</formula>
    </cfRule>
  </conditionalFormatting>
  <conditionalFormatting sqref="E48:F48">
    <cfRule type="cellIs" dxfId="36" priority="33" stopIfTrue="1" operator="lessThan">
      <formula>0</formula>
    </cfRule>
  </conditionalFormatting>
  <conditionalFormatting sqref="E57:F62">
    <cfRule type="cellIs" dxfId="35" priority="7" stopIfTrue="1" operator="lessThan">
      <formula>0</formula>
    </cfRule>
  </conditionalFormatting>
  <conditionalFormatting sqref="E14:G14">
    <cfRule type="cellIs" dxfId="34" priority="283" stopIfTrue="1" operator="lessThan">
      <formula>0</formula>
    </cfRule>
  </conditionalFormatting>
  <conditionalFormatting sqref="E40:G42 G43:G49">
    <cfRule type="cellIs" dxfId="33" priority="35" stopIfTrue="1" operator="lessThan">
      <formula>0</formula>
    </cfRule>
  </conditionalFormatting>
  <conditionalFormatting sqref="E50:G51 G52:G54 E53:F54 F55:G55 G56 G58:G62">
    <cfRule type="cellIs" dxfId="32" priority="93" stopIfTrue="1" operator="lessThan">
      <formula>0</formula>
    </cfRule>
  </conditionalFormatting>
  <conditionalFormatting sqref="E66:G72">
    <cfRule type="cellIs" dxfId="31" priority="5" stopIfTrue="1" operator="lessThan">
      <formula>0</formula>
    </cfRule>
  </conditionalFormatting>
  <conditionalFormatting sqref="E89:G94 D95:G103">
    <cfRule type="cellIs" dxfId="30" priority="49" stopIfTrue="1" operator="lessThan">
      <formula>0</formula>
    </cfRule>
  </conditionalFormatting>
  <conditionalFormatting sqref="E3:H3 G104 E105:G105 D115:H115 E116:H180 D120">
    <cfRule type="cellIs" dxfId="29" priority="347" stopIfTrue="1" operator="lessThan">
      <formula>0</formula>
    </cfRule>
  </conditionalFormatting>
  <conditionalFormatting sqref="F25:G25">
    <cfRule type="cellIs" dxfId="28" priority="268" stopIfTrue="1" operator="lessThan">
      <formula>0</formula>
    </cfRule>
  </conditionalFormatting>
  <conditionalFormatting sqref="F63:G64">
    <cfRule type="cellIs" dxfId="27" priority="10" stopIfTrue="1" operator="lessThan">
      <formula>0</formula>
    </cfRule>
  </conditionalFormatting>
  <conditionalFormatting sqref="F77:G77">
    <cfRule type="cellIs" dxfId="26" priority="65" stopIfTrue="1" operator="lessThan">
      <formula>0</formula>
    </cfRule>
  </conditionalFormatting>
  <conditionalFormatting sqref="G4:G13 H4:H27 H29:H56 G57:H57 D65:G65 A98:C98 H58:H115">
    <cfRule type="cellIs" dxfId="25" priority="181" stopIfTrue="1" operator="lessThan">
      <formula>0</formula>
    </cfRule>
  </conditionalFormatting>
  <conditionalFormatting sqref="G15:G24">
    <cfRule type="cellIs" dxfId="24" priority="106" stopIfTrue="1" operator="lessThan">
      <formula>0</formula>
    </cfRule>
  </conditionalFormatting>
  <conditionalFormatting sqref="G26:G27">
    <cfRule type="cellIs" dxfId="23" priority="265" stopIfTrue="1" operator="lessThan">
      <formula>0</formula>
    </cfRule>
  </conditionalFormatting>
  <conditionalFormatting sqref="G29:G39">
    <cfRule type="cellIs" dxfId="22" priority="122" stopIfTrue="1" operator="lessThan">
      <formula>0</formula>
    </cfRule>
  </conditionalFormatting>
  <conditionalFormatting sqref="G28:H28">
    <cfRule type="cellIs" dxfId="21" priority="42" stopIfTrue="1" operator="lessThan">
      <formula>0</formula>
    </cfRule>
  </conditionalFormatting>
  <conditionalFormatting sqref="E78:G78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D3:D115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8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1"/>
  <sheetViews>
    <sheetView showGridLines="0" zoomScaleNormal="100" workbookViewId="0">
      <pane ySplit="2" topLeftCell="A119" activePane="bottomLeft" state="frozen"/>
      <selection pane="bottomLeft" activeCell="G147" sqref="G147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45659</v>
      </c>
      <c r="C3" s="48">
        <v>1</v>
      </c>
      <c r="D3" s="81" t="s">
        <v>44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customHeight="1" x14ac:dyDescent="0.3">
      <c r="A4" s="41"/>
      <c r="B4" s="14">
        <v>45659</v>
      </c>
      <c r="C4" s="48">
        <v>2</v>
      </c>
      <c r="D4" s="81" t="s">
        <v>47</v>
      </c>
      <c r="E4" s="82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81" t="s">
        <v>49</v>
      </c>
      <c r="E5" s="8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45660</v>
      </c>
      <c r="C6" s="48">
        <v>4</v>
      </c>
      <c r="D6" s="81" t="s">
        <v>45</v>
      </c>
      <c r="E6" s="82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45660</v>
      </c>
      <c r="C7" s="48">
        <v>5</v>
      </c>
      <c r="D7" s="81" t="s">
        <v>45</v>
      </c>
      <c r="E7" s="82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81" t="s">
        <v>20</v>
      </c>
      <c r="E8" s="82" t="s">
        <v>20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45667</v>
      </c>
      <c r="C9" s="48">
        <v>7</v>
      </c>
      <c r="D9" s="3" t="s">
        <v>46</v>
      </c>
      <c r="E9" s="82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45672</v>
      </c>
      <c r="C10" s="48">
        <v>8</v>
      </c>
      <c r="D10" s="3" t="s">
        <v>51</v>
      </c>
      <c r="E10" s="82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45680</v>
      </c>
      <c r="C11" s="48">
        <v>9</v>
      </c>
      <c r="D11" s="3" t="s">
        <v>52</v>
      </c>
      <c r="E11" s="82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45688</v>
      </c>
      <c r="C13" s="48">
        <v>11</v>
      </c>
      <c r="D13" s="81" t="s">
        <v>53</v>
      </c>
      <c r="E13" s="82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customHeight="1" x14ac:dyDescent="0.3">
      <c r="A14" s="41"/>
      <c r="B14" s="14">
        <v>45688</v>
      </c>
      <c r="C14" s="48">
        <v>12</v>
      </c>
      <c r="D14" s="81" t="s">
        <v>54</v>
      </c>
      <c r="E14" s="82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45688</v>
      </c>
      <c r="C15" s="48">
        <v>13</v>
      </c>
      <c r="D15" s="81" t="s">
        <v>46</v>
      </c>
      <c r="E15" s="82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45692</v>
      </c>
      <c r="C16" s="48">
        <v>14</v>
      </c>
      <c r="D16" s="81" t="s">
        <v>45</v>
      </c>
      <c r="E16" s="82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45692</v>
      </c>
      <c r="C17" s="48">
        <v>15</v>
      </c>
      <c r="D17" s="81" t="s">
        <v>45</v>
      </c>
      <c r="E17" s="82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45692</v>
      </c>
      <c r="C18" s="48">
        <v>16</v>
      </c>
      <c r="D18" s="3" t="s">
        <v>57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81" t="s">
        <v>20</v>
      </c>
      <c r="E19" s="8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45693</v>
      </c>
      <c r="C20" s="48">
        <v>18</v>
      </c>
      <c r="D20" s="3" t="s">
        <v>46</v>
      </c>
      <c r="E20" s="82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45705</v>
      </c>
      <c r="C21" s="48">
        <v>19</v>
      </c>
      <c r="D21" s="3" t="s">
        <v>46</v>
      </c>
      <c r="E21" s="82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45705</v>
      </c>
      <c r="C22" s="48">
        <v>20</v>
      </c>
      <c r="D22" s="3" t="s">
        <v>58</v>
      </c>
      <c r="E22" s="82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45708</v>
      </c>
      <c r="C23" s="48">
        <v>21</v>
      </c>
      <c r="D23" s="3" t="s">
        <v>46</v>
      </c>
      <c r="E23" s="82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45709</v>
      </c>
      <c r="C24" s="48">
        <v>22</v>
      </c>
      <c r="D24" s="3" t="s">
        <v>52</v>
      </c>
      <c r="E24" s="82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45712</v>
      </c>
      <c r="C25" s="48">
        <v>23</v>
      </c>
      <c r="D25" s="81" t="s">
        <v>60</v>
      </c>
      <c r="E25" s="82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45713</v>
      </c>
      <c r="C26" s="48">
        <v>24</v>
      </c>
      <c r="D26" s="81" t="s">
        <v>60</v>
      </c>
      <c r="E26" s="82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45714</v>
      </c>
      <c r="C27" s="48">
        <v>25</v>
      </c>
      <c r="D27" s="3" t="s">
        <v>63</v>
      </c>
      <c r="E27" s="82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45715</v>
      </c>
      <c r="C28" s="48">
        <v>26</v>
      </c>
      <c r="D28" s="3" t="s">
        <v>64</v>
      </c>
      <c r="E28" s="82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45719</v>
      </c>
      <c r="C29" s="48">
        <v>27</v>
      </c>
      <c r="D29" s="3" t="s">
        <v>65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customHeight="1" x14ac:dyDescent="0.3">
      <c r="A30" s="41"/>
      <c r="B30" s="14">
        <v>45719</v>
      </c>
      <c r="C30" s="48">
        <v>28</v>
      </c>
      <c r="D30" s="3" t="s">
        <v>66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45720</v>
      </c>
      <c r="C31" s="48">
        <v>29</v>
      </c>
      <c r="D31" s="81" t="s">
        <v>45</v>
      </c>
      <c r="E31" s="82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45720</v>
      </c>
      <c r="C32" s="48">
        <v>30</v>
      </c>
      <c r="D32" s="81" t="s">
        <v>68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customHeight="1" x14ac:dyDescent="0.3">
      <c r="A33" s="41"/>
      <c r="B33" s="14">
        <v>45721</v>
      </c>
      <c r="C33" s="48">
        <v>31</v>
      </c>
      <c r="D33" s="3" t="s">
        <v>69</v>
      </c>
      <c r="E33" s="82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45721</v>
      </c>
      <c r="C34" s="48">
        <v>32</v>
      </c>
      <c r="D34" s="3" t="s">
        <v>69</v>
      </c>
      <c r="E34" s="82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81" t="s">
        <v>20</v>
      </c>
      <c r="E35" s="82" t="s">
        <v>20</v>
      </c>
      <c r="F35" s="19"/>
      <c r="G35" s="20">
        <v>-12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45734</v>
      </c>
      <c r="C36" s="48">
        <v>34</v>
      </c>
      <c r="D36" s="81" t="s">
        <v>71</v>
      </c>
      <c r="E36" s="82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45734</v>
      </c>
      <c r="C37" s="48">
        <v>35</v>
      </c>
      <c r="D37" s="3" t="s">
        <v>69</v>
      </c>
      <c r="E37" s="82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45736</v>
      </c>
      <c r="C38" s="48">
        <v>36</v>
      </c>
      <c r="D38" s="3" t="s">
        <v>69</v>
      </c>
      <c r="E38" s="82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45737</v>
      </c>
      <c r="C39" s="48">
        <v>37</v>
      </c>
      <c r="D39" s="3" t="s">
        <v>52</v>
      </c>
      <c r="E39" s="82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45740</v>
      </c>
      <c r="C40" s="48">
        <v>38</v>
      </c>
      <c r="D40" s="3" t="s">
        <v>69</v>
      </c>
      <c r="E40" s="82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45740</v>
      </c>
      <c r="C41" s="48">
        <v>39</v>
      </c>
      <c r="D41" s="3" t="s">
        <v>73</v>
      </c>
      <c r="E41" s="82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45741</v>
      </c>
      <c r="C42" s="48">
        <v>40</v>
      </c>
      <c r="D42" s="3" t="s">
        <v>74</v>
      </c>
      <c r="E42" s="82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45744</v>
      </c>
      <c r="C43" s="48">
        <v>41</v>
      </c>
      <c r="D43" s="3" t="s">
        <v>75</v>
      </c>
      <c r="E43" s="82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45747</v>
      </c>
      <c r="C44" s="48">
        <v>42</v>
      </c>
      <c r="D44" s="3" t="s">
        <v>76</v>
      </c>
      <c r="E44" s="82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45747</v>
      </c>
      <c r="C45" s="48">
        <v>43</v>
      </c>
      <c r="D45" s="3" t="s">
        <v>47</v>
      </c>
      <c r="E45" s="82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81" t="s">
        <v>20</v>
      </c>
      <c r="E46" s="82" t="s">
        <v>20</v>
      </c>
      <c r="F46" s="19"/>
      <c r="G46" s="20">
        <v>-12</v>
      </c>
      <c r="H46" s="20"/>
      <c r="I46" s="20"/>
      <c r="J46" s="4"/>
      <c r="K46" s="2"/>
      <c r="L46" s="2"/>
    </row>
    <row r="47" spans="1:12" ht="15" customHeight="1" x14ac:dyDescent="0.3">
      <c r="A47" s="41"/>
      <c r="B47" s="14">
        <v>45749</v>
      </c>
      <c r="C47" s="48">
        <v>45</v>
      </c>
      <c r="D47" s="3" t="s">
        <v>45</v>
      </c>
      <c r="E47" s="82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45749</v>
      </c>
      <c r="C48" s="48">
        <v>46</v>
      </c>
      <c r="D48" s="3" t="s">
        <v>45</v>
      </c>
      <c r="E48" s="82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45750</v>
      </c>
      <c r="C49" s="48">
        <v>47</v>
      </c>
      <c r="D49" s="3" t="s">
        <v>69</v>
      </c>
      <c r="E49" s="82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45761</v>
      </c>
      <c r="C50" s="48">
        <v>48</v>
      </c>
      <c r="D50" s="3" t="s">
        <v>69</v>
      </c>
      <c r="E50" s="82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45760</v>
      </c>
      <c r="C51" s="48">
        <v>49</v>
      </c>
      <c r="D51" s="3" t="s">
        <v>82</v>
      </c>
      <c r="E51" s="82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45761</v>
      </c>
      <c r="C52" s="48">
        <v>50</v>
      </c>
      <c r="D52" s="37" t="s">
        <v>83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45761</v>
      </c>
      <c r="C53" s="48">
        <v>51</v>
      </c>
      <c r="D53" s="3" t="s">
        <v>69</v>
      </c>
      <c r="E53" s="82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45762</v>
      </c>
      <c r="C54" s="48">
        <v>52</v>
      </c>
      <c r="D54" s="3" t="s">
        <v>51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45769</v>
      </c>
      <c r="C55" s="48">
        <v>53</v>
      </c>
      <c r="D55" s="3" t="s">
        <v>84</v>
      </c>
      <c r="E55" s="82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customHeight="1" x14ac:dyDescent="0.3">
      <c r="A56" s="41"/>
      <c r="B56" s="14">
        <v>45770</v>
      </c>
      <c r="C56" s="48">
        <v>54</v>
      </c>
      <c r="D56" s="3" t="s">
        <v>69</v>
      </c>
      <c r="E56" s="82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45770</v>
      </c>
      <c r="C57" s="48">
        <v>55</v>
      </c>
      <c r="D57" s="3" t="s">
        <v>52</v>
      </c>
      <c r="E57" s="82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45775</v>
      </c>
      <c r="C58" s="48">
        <v>56</v>
      </c>
      <c r="D58" s="3" t="s">
        <v>85</v>
      </c>
      <c r="E58" s="82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81" t="s">
        <v>20</v>
      </c>
      <c r="E59" s="82" t="s">
        <v>20</v>
      </c>
      <c r="F59" s="19"/>
      <c r="G59" s="20">
        <v>-12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45418</v>
      </c>
      <c r="C60" s="48">
        <v>58</v>
      </c>
      <c r="D60" s="3" t="s">
        <v>45</v>
      </c>
      <c r="E60" s="82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45418</v>
      </c>
      <c r="C61" s="48">
        <v>59</v>
      </c>
      <c r="D61" s="3" t="s">
        <v>45</v>
      </c>
      <c r="E61" s="82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45789</v>
      </c>
      <c r="C62" s="48">
        <v>60</v>
      </c>
      <c r="D62" s="3" t="s">
        <v>69</v>
      </c>
      <c r="E62" s="82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45791</v>
      </c>
      <c r="C63" s="48">
        <v>61</v>
      </c>
      <c r="D63" s="3" t="s">
        <v>69</v>
      </c>
      <c r="E63" s="82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45799</v>
      </c>
      <c r="C64" s="48">
        <v>62</v>
      </c>
      <c r="D64" s="3" t="s">
        <v>52</v>
      </c>
      <c r="E64" s="82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45799</v>
      </c>
      <c r="C65" s="48">
        <v>63</v>
      </c>
      <c r="D65" s="3" t="s">
        <v>94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customHeight="1" x14ac:dyDescent="0.3">
      <c r="A66" s="41"/>
      <c r="B66" s="14">
        <v>45803</v>
      </c>
      <c r="C66" s="48">
        <v>64</v>
      </c>
      <c r="D66" s="3" t="s">
        <v>95</v>
      </c>
      <c r="E66" s="82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45803</v>
      </c>
      <c r="C67" s="48">
        <v>65</v>
      </c>
      <c r="D67" s="3" t="s">
        <v>46</v>
      </c>
      <c r="E67" s="82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45803</v>
      </c>
      <c r="C68" s="48">
        <v>66</v>
      </c>
      <c r="D68" s="81" t="s">
        <v>99</v>
      </c>
      <c r="E68" s="82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45805</v>
      </c>
      <c r="C69" s="48">
        <v>67</v>
      </c>
      <c r="D69" s="81" t="s">
        <v>46</v>
      </c>
      <c r="E69" s="82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45805</v>
      </c>
      <c r="C70" s="48">
        <v>68</v>
      </c>
      <c r="D70" s="81" t="s">
        <v>100</v>
      </c>
      <c r="E70" s="82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81" t="s">
        <v>20</v>
      </c>
      <c r="E71" s="82" t="s">
        <v>20</v>
      </c>
      <c r="F71" s="19"/>
      <c r="G71" s="20">
        <v>-12</v>
      </c>
      <c r="H71" s="19"/>
      <c r="I71" s="20"/>
      <c r="J71" s="4"/>
      <c r="K71" s="2"/>
      <c r="L71" s="2"/>
    </row>
    <row r="72" spans="1:12" ht="15" customHeight="1" x14ac:dyDescent="0.3">
      <c r="A72" s="41"/>
      <c r="B72" s="14">
        <v>45811</v>
      </c>
      <c r="C72" s="48">
        <v>70</v>
      </c>
      <c r="D72" s="3" t="s">
        <v>45</v>
      </c>
      <c r="E72" s="82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45811</v>
      </c>
      <c r="C73" s="48">
        <v>71</v>
      </c>
      <c r="D73" s="3" t="s">
        <v>45</v>
      </c>
      <c r="E73" s="82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customHeight="1" x14ac:dyDescent="0.3">
      <c r="A74" s="41"/>
      <c r="B74" s="14">
        <v>45818</v>
      </c>
      <c r="C74" s="48">
        <v>72</v>
      </c>
      <c r="D74" s="3" t="s">
        <v>46</v>
      </c>
      <c r="E74" s="82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45828</v>
      </c>
      <c r="C75" s="48">
        <v>73</v>
      </c>
      <c r="D75" s="3" t="s">
        <v>102</v>
      </c>
      <c r="E75" s="82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customHeight="1" x14ac:dyDescent="0.3">
      <c r="A76" s="41"/>
      <c r="B76" s="14">
        <v>45828</v>
      </c>
      <c r="C76" s="48">
        <v>74</v>
      </c>
      <c r="D76" s="3" t="s">
        <v>103</v>
      </c>
      <c r="E76" s="82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45828</v>
      </c>
      <c r="C77" s="48">
        <v>75</v>
      </c>
      <c r="D77" s="3" t="s">
        <v>104</v>
      </c>
      <c r="E77" s="82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45831</v>
      </c>
      <c r="C78" s="48">
        <v>76</v>
      </c>
      <c r="D78" s="3" t="s">
        <v>52</v>
      </c>
      <c r="E78" s="82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45835</v>
      </c>
      <c r="C79" s="48">
        <v>77</v>
      </c>
      <c r="D79" s="3" t="s">
        <v>107</v>
      </c>
      <c r="E79" s="82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45835</v>
      </c>
      <c r="C80" s="48">
        <v>78</v>
      </c>
      <c r="D80" s="3" t="s">
        <v>108</v>
      </c>
      <c r="E80" s="82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45838</v>
      </c>
      <c r="C81" s="48">
        <v>79</v>
      </c>
      <c r="D81" s="3" t="s">
        <v>109</v>
      </c>
      <c r="E81" s="82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45840</v>
      </c>
      <c r="C82" s="48">
        <v>80</v>
      </c>
      <c r="D82" s="3" t="s">
        <v>45</v>
      </c>
      <c r="E82" s="82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45840</v>
      </c>
      <c r="C83" s="48">
        <v>81</v>
      </c>
      <c r="D83" s="3" t="s">
        <v>45</v>
      </c>
      <c r="E83" s="82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81" t="s">
        <v>20</v>
      </c>
      <c r="E84" s="82" t="s">
        <v>20</v>
      </c>
      <c r="F84" s="19"/>
      <c r="G84" s="20">
        <v>-12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45845</v>
      </c>
      <c r="C85" s="48">
        <v>83</v>
      </c>
      <c r="D85" s="81" t="s">
        <v>112</v>
      </c>
      <c r="E85" s="82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45846</v>
      </c>
      <c r="C86" s="48">
        <v>84</v>
      </c>
      <c r="D86" s="81" t="s">
        <v>115</v>
      </c>
      <c r="E86" s="82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45846</v>
      </c>
      <c r="C87" s="48">
        <v>85</v>
      </c>
      <c r="D87" s="3" t="s">
        <v>116</v>
      </c>
      <c r="E87" s="82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45853</v>
      </c>
      <c r="C88" s="48">
        <v>86</v>
      </c>
      <c r="D88" s="3" t="s">
        <v>51</v>
      </c>
      <c r="E88" s="82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45859</v>
      </c>
      <c r="C89" s="48">
        <v>87</v>
      </c>
      <c r="D89" s="3" t="s">
        <v>118</v>
      </c>
      <c r="E89" s="82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45861</v>
      </c>
      <c r="C90" s="48">
        <v>88</v>
      </c>
      <c r="D90" s="3" t="s">
        <v>52</v>
      </c>
      <c r="E90" s="82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45867</v>
      </c>
      <c r="C91" s="48">
        <v>89</v>
      </c>
      <c r="D91" s="3" t="s">
        <v>124</v>
      </c>
      <c r="E91" s="82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customHeight="1" x14ac:dyDescent="0.3">
      <c r="A92" s="41"/>
      <c r="B92" s="14">
        <v>45869</v>
      </c>
      <c r="C92" s="48">
        <v>90</v>
      </c>
      <c r="D92" s="3" t="s">
        <v>127</v>
      </c>
      <c r="E92" s="82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81" t="s">
        <v>20</v>
      </c>
      <c r="E93" s="82" t="s">
        <v>20</v>
      </c>
      <c r="F93" s="19"/>
      <c r="G93" s="20">
        <v>-12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45873</v>
      </c>
      <c r="C94" s="48">
        <v>92</v>
      </c>
      <c r="D94" s="3" t="s">
        <v>45</v>
      </c>
      <c r="E94" s="82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45873</v>
      </c>
      <c r="C95" s="48">
        <v>93</v>
      </c>
      <c r="D95" s="3" t="s">
        <v>45</v>
      </c>
      <c r="E95" s="82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45873</v>
      </c>
      <c r="C96" s="48">
        <v>94</v>
      </c>
      <c r="D96" s="3" t="s">
        <v>128</v>
      </c>
      <c r="E96" s="82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45874</v>
      </c>
      <c r="C97" s="48">
        <v>95</v>
      </c>
      <c r="D97" s="3" t="s">
        <v>46</v>
      </c>
      <c r="E97" s="82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customHeight="1" x14ac:dyDescent="0.3">
      <c r="A98" s="41"/>
      <c r="B98" s="14">
        <v>45874</v>
      </c>
      <c r="C98" s="48">
        <v>96</v>
      </c>
      <c r="D98" s="3" t="s">
        <v>129</v>
      </c>
      <c r="E98" s="82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customHeight="1" x14ac:dyDescent="0.3">
      <c r="A99" s="41"/>
      <c r="B99" s="14">
        <v>45890</v>
      </c>
      <c r="C99" s="48">
        <v>97</v>
      </c>
      <c r="D99" s="3" t="s">
        <v>52</v>
      </c>
      <c r="E99" s="82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customHeight="1" x14ac:dyDescent="0.3">
      <c r="A100" s="41"/>
      <c r="B100" s="14">
        <v>45895</v>
      </c>
      <c r="C100" s="48">
        <v>98</v>
      </c>
      <c r="D100" s="3" t="s">
        <v>46</v>
      </c>
      <c r="E100" s="82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81" t="s">
        <v>20</v>
      </c>
      <c r="E101" s="82" t="s">
        <v>20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customHeight="1" x14ac:dyDescent="0.3">
      <c r="A102" s="41"/>
      <c r="B102" s="14">
        <v>45902</v>
      </c>
      <c r="C102" s="48">
        <v>100</v>
      </c>
      <c r="D102" s="3" t="s">
        <v>45</v>
      </c>
      <c r="E102" s="82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customHeight="1" x14ac:dyDescent="0.3">
      <c r="A103" s="41"/>
      <c r="B103" s="14">
        <v>45902</v>
      </c>
      <c r="C103" s="48">
        <v>101</v>
      </c>
      <c r="D103" s="3" t="s">
        <v>45</v>
      </c>
      <c r="E103" s="82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customHeight="1" x14ac:dyDescent="0.3">
      <c r="A104" s="41"/>
      <c r="B104" s="14">
        <v>45908</v>
      </c>
      <c r="C104" s="48">
        <v>102</v>
      </c>
      <c r="D104" s="81" t="s">
        <v>131</v>
      </c>
      <c r="E104" s="82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customHeight="1" x14ac:dyDescent="0.3">
      <c r="A105" s="41"/>
      <c r="B105" s="14">
        <v>45918</v>
      </c>
      <c r="C105" s="48">
        <v>103</v>
      </c>
      <c r="D105" s="3" t="s">
        <v>134</v>
      </c>
      <c r="E105" s="82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customHeight="1" x14ac:dyDescent="0.3">
      <c r="A106" s="41"/>
      <c r="B106" s="14">
        <v>45922</v>
      </c>
      <c r="C106" s="48">
        <v>104</v>
      </c>
      <c r="D106" s="3" t="s">
        <v>52</v>
      </c>
      <c r="E106" s="82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customHeight="1" x14ac:dyDescent="0.3">
      <c r="A107" s="41"/>
      <c r="B107" s="14">
        <v>45929</v>
      </c>
      <c r="C107" s="48">
        <v>105</v>
      </c>
      <c r="D107" s="3" t="s">
        <v>46</v>
      </c>
      <c r="E107" s="82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customHeight="1" x14ac:dyDescent="0.3">
      <c r="A108" s="41"/>
      <c r="B108" s="14">
        <v>45930</v>
      </c>
      <c r="C108" s="48">
        <v>106</v>
      </c>
      <c r="D108" s="3" t="s">
        <v>29</v>
      </c>
      <c r="E108" s="82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customHeight="1" x14ac:dyDescent="0.3">
      <c r="A109" s="41"/>
      <c r="B109" s="14">
        <v>45931</v>
      </c>
      <c r="C109" s="48">
        <v>107</v>
      </c>
      <c r="D109" s="3" t="s">
        <v>47</v>
      </c>
      <c r="E109" s="82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81" t="s">
        <v>20</v>
      </c>
      <c r="E110" s="82" t="s">
        <v>20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customHeight="1" x14ac:dyDescent="0.3">
      <c r="A111" s="41"/>
      <c r="B111" s="14">
        <v>45932</v>
      </c>
      <c r="C111" s="48">
        <v>109</v>
      </c>
      <c r="D111" s="3" t="s">
        <v>45</v>
      </c>
      <c r="E111" s="82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customHeight="1" x14ac:dyDescent="0.3">
      <c r="A112" s="41"/>
      <c r="B112" s="14">
        <v>45932</v>
      </c>
      <c r="C112" s="48">
        <v>110</v>
      </c>
      <c r="D112" s="3" t="s">
        <v>45</v>
      </c>
      <c r="E112" s="82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45936</v>
      </c>
      <c r="C113" s="48">
        <v>111</v>
      </c>
      <c r="D113" s="3" t="s">
        <v>135</v>
      </c>
      <c r="E113" s="82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45936</v>
      </c>
      <c r="C114" s="48">
        <v>112</v>
      </c>
      <c r="D114" s="3" t="s">
        <v>136</v>
      </c>
      <c r="E114" s="82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45939</v>
      </c>
      <c r="C116" s="48">
        <v>114</v>
      </c>
      <c r="D116" s="3" t="s">
        <v>138</v>
      </c>
      <c r="E116" s="82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customHeight="1" x14ac:dyDescent="0.3">
      <c r="A117" s="41"/>
      <c r="B117" s="14">
        <v>45945</v>
      </c>
      <c r="C117" s="48">
        <v>115</v>
      </c>
      <c r="D117" s="3" t="s">
        <v>51</v>
      </c>
      <c r="E117" s="82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customHeight="1" x14ac:dyDescent="0.3">
      <c r="A118" s="41"/>
      <c r="B118" s="14">
        <v>45945</v>
      </c>
      <c r="C118" s="48">
        <v>116</v>
      </c>
      <c r="D118" s="3" t="s">
        <v>46</v>
      </c>
      <c r="E118" s="82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customHeight="1" x14ac:dyDescent="0.3">
      <c r="A119" s="41"/>
      <c r="B119" s="14">
        <v>45952</v>
      </c>
      <c r="C119" s="48">
        <v>117</v>
      </c>
      <c r="D119" s="3" t="s">
        <v>139</v>
      </c>
      <c r="E119" s="82" t="s">
        <v>21</v>
      </c>
      <c r="F119" s="19"/>
      <c r="G119" s="20">
        <v>-40.92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45957</v>
      </c>
      <c r="C120" s="48">
        <v>118</v>
      </c>
      <c r="D120" s="3" t="s">
        <v>140</v>
      </c>
      <c r="E120" s="82" t="s">
        <v>22</v>
      </c>
      <c r="F120" s="19"/>
      <c r="G120" s="20">
        <v>-20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45957</v>
      </c>
      <c r="C121" s="48">
        <v>119</v>
      </c>
      <c r="D121" s="3" t="s">
        <v>134</v>
      </c>
      <c r="E121" s="82" t="s">
        <v>21</v>
      </c>
      <c r="F121" s="19"/>
      <c r="G121" s="20">
        <v>-0.67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45959</v>
      </c>
      <c r="C122" s="48">
        <v>120</v>
      </c>
      <c r="D122" s="3" t="s">
        <v>141</v>
      </c>
      <c r="E122" s="2" t="s">
        <v>18</v>
      </c>
      <c r="F122" s="19"/>
      <c r="G122" s="20">
        <v>-104.13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45959</v>
      </c>
      <c r="C123" s="48">
        <v>121</v>
      </c>
      <c r="D123" s="3" t="s">
        <v>46</v>
      </c>
      <c r="E123" s="82" t="s">
        <v>0</v>
      </c>
      <c r="F123" s="19"/>
      <c r="G123" s="20">
        <v>-6.99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45964</v>
      </c>
      <c r="C124" s="48">
        <v>122</v>
      </c>
      <c r="D124" s="81" t="s">
        <v>20</v>
      </c>
      <c r="E124" s="82" t="s">
        <v>20</v>
      </c>
      <c r="F124" s="19"/>
      <c r="G124" s="20">
        <v>-12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45964</v>
      </c>
      <c r="C125" s="48">
        <v>123</v>
      </c>
      <c r="D125" s="3" t="s">
        <v>142</v>
      </c>
      <c r="E125" s="82" t="s">
        <v>21</v>
      </c>
      <c r="F125" s="19"/>
      <c r="G125" s="20">
        <v>-143.16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>
        <v>45964</v>
      </c>
      <c r="C126" s="48">
        <v>124</v>
      </c>
      <c r="D126" s="3" t="s">
        <v>46</v>
      </c>
      <c r="E126" s="82" t="s">
        <v>0</v>
      </c>
      <c r="F126" s="19"/>
      <c r="G126" s="20">
        <v>-11.99</v>
      </c>
      <c r="H126" s="20"/>
      <c r="I126" s="20"/>
      <c r="J126" s="4"/>
      <c r="K126" s="2"/>
      <c r="L126" s="2"/>
    </row>
    <row r="127" spans="1:12" ht="15" customHeight="1" x14ac:dyDescent="0.3">
      <c r="A127" s="41"/>
      <c r="B127" s="14">
        <v>45965</v>
      </c>
      <c r="C127" s="48">
        <v>125</v>
      </c>
      <c r="D127" s="3" t="s">
        <v>45</v>
      </c>
      <c r="E127" s="82" t="s">
        <v>21</v>
      </c>
      <c r="F127" s="19"/>
      <c r="G127" s="20">
        <v>-52</v>
      </c>
      <c r="H127" s="20"/>
      <c r="I127" s="20"/>
      <c r="J127" s="4"/>
      <c r="K127" s="2"/>
      <c r="L127" s="2"/>
    </row>
    <row r="128" spans="1:12" ht="15" customHeight="1" x14ac:dyDescent="0.3">
      <c r="A128" s="41"/>
      <c r="B128" s="14">
        <v>45965</v>
      </c>
      <c r="C128" s="48">
        <v>126</v>
      </c>
      <c r="D128" s="3" t="s">
        <v>45</v>
      </c>
      <c r="E128" s="82" t="s">
        <v>21</v>
      </c>
      <c r="F128" s="19"/>
      <c r="G128" s="20">
        <v>-112</v>
      </c>
      <c r="H128" s="20"/>
      <c r="I128" s="20"/>
      <c r="J128" s="4"/>
      <c r="K128" s="2"/>
      <c r="L128" s="2"/>
    </row>
    <row r="129" spans="1:12" ht="15" customHeight="1" x14ac:dyDescent="0.3">
      <c r="A129" s="41"/>
      <c r="B129" s="14">
        <v>45974</v>
      </c>
      <c r="C129" s="48">
        <v>127</v>
      </c>
      <c r="D129" s="81" t="s">
        <v>46</v>
      </c>
      <c r="E129" s="82" t="s">
        <v>0</v>
      </c>
      <c r="F129" s="19"/>
      <c r="G129" s="20">
        <v>-96.99</v>
      </c>
      <c r="H129" s="20"/>
      <c r="I129" s="20"/>
      <c r="J129" s="4"/>
      <c r="K129" s="2"/>
      <c r="L129" s="2"/>
    </row>
    <row r="130" spans="1:12" ht="15" customHeight="1" x14ac:dyDescent="0.3">
      <c r="A130" s="41"/>
      <c r="B130" s="14">
        <v>45978</v>
      </c>
      <c r="C130" s="48">
        <v>128</v>
      </c>
      <c r="D130" s="37" t="s">
        <v>146</v>
      </c>
      <c r="E130" s="2" t="s">
        <v>18</v>
      </c>
      <c r="F130" s="19"/>
      <c r="G130" s="20">
        <v>-440.5</v>
      </c>
      <c r="H130" s="20"/>
      <c r="I130" s="20"/>
      <c r="J130" s="4"/>
      <c r="K130" s="2"/>
      <c r="L130" s="2"/>
    </row>
    <row r="131" spans="1:12" ht="15" customHeight="1" x14ac:dyDescent="0.3">
      <c r="A131" s="41"/>
      <c r="B131" s="14">
        <v>45978</v>
      </c>
      <c r="C131" s="48">
        <v>129</v>
      </c>
      <c r="D131" s="3" t="s">
        <v>147</v>
      </c>
      <c r="E131" s="82" t="s">
        <v>0</v>
      </c>
      <c r="F131" s="19"/>
      <c r="G131" s="20">
        <v>-40</v>
      </c>
      <c r="H131" s="20"/>
      <c r="I131" s="20"/>
      <c r="J131" s="4"/>
      <c r="K131" s="2"/>
      <c r="L131" s="2"/>
    </row>
    <row r="132" spans="1:12" ht="15" customHeight="1" x14ac:dyDescent="0.3">
      <c r="A132" s="41"/>
      <c r="B132" s="14">
        <v>45979</v>
      </c>
      <c r="C132" s="48">
        <v>130</v>
      </c>
      <c r="D132" s="3" t="s">
        <v>148</v>
      </c>
      <c r="E132" s="21" t="s">
        <v>27</v>
      </c>
      <c r="F132" s="19"/>
      <c r="G132" s="20">
        <v>-8</v>
      </c>
      <c r="H132" s="20"/>
      <c r="I132" s="20"/>
      <c r="J132" s="4"/>
      <c r="K132" s="2"/>
      <c r="L132" s="2"/>
    </row>
    <row r="133" spans="1:12" ht="15" customHeight="1" x14ac:dyDescent="0.3">
      <c r="A133" s="41"/>
      <c r="B133" s="14">
        <v>45979</v>
      </c>
      <c r="C133" s="48">
        <v>131</v>
      </c>
      <c r="D133" s="3" t="s">
        <v>150</v>
      </c>
      <c r="E133" s="82" t="s">
        <v>0</v>
      </c>
      <c r="F133" s="19"/>
      <c r="G133" s="20">
        <v>-39.89</v>
      </c>
      <c r="H133" s="20"/>
      <c r="I133" s="20"/>
      <c r="J133" s="4"/>
      <c r="K133" s="2"/>
      <c r="L133" s="2"/>
    </row>
    <row r="134" spans="1:12" ht="15" customHeight="1" x14ac:dyDescent="0.3">
      <c r="A134" s="41"/>
      <c r="B134" s="14">
        <v>45980</v>
      </c>
      <c r="C134" s="48">
        <v>132</v>
      </c>
      <c r="D134" s="3" t="s">
        <v>151</v>
      </c>
      <c r="E134" s="21" t="s">
        <v>14</v>
      </c>
      <c r="F134" s="19"/>
      <c r="G134" s="20">
        <v>-11.97</v>
      </c>
      <c r="H134" s="20"/>
      <c r="I134" s="20"/>
      <c r="J134" s="4"/>
      <c r="K134" s="2"/>
      <c r="L134" s="2"/>
    </row>
    <row r="135" spans="1:12" ht="15" customHeight="1" x14ac:dyDescent="0.3">
      <c r="A135" s="41"/>
      <c r="B135" s="14">
        <v>45980</v>
      </c>
      <c r="C135" s="48">
        <v>133</v>
      </c>
      <c r="D135" s="3" t="s">
        <v>152</v>
      </c>
      <c r="E135" s="21" t="s">
        <v>14</v>
      </c>
      <c r="F135" s="19"/>
      <c r="G135" s="20">
        <v>-28.5</v>
      </c>
      <c r="H135" s="20"/>
      <c r="I135" s="20"/>
      <c r="J135" s="4"/>
      <c r="K135" s="2"/>
      <c r="L135" s="2"/>
    </row>
    <row r="136" spans="1:12" ht="15" customHeight="1" x14ac:dyDescent="0.3">
      <c r="A136" s="41"/>
      <c r="B136" s="14">
        <v>45980</v>
      </c>
      <c r="C136" s="48">
        <v>134</v>
      </c>
      <c r="D136" s="3" t="s">
        <v>153</v>
      </c>
      <c r="E136" s="82" t="s">
        <v>0</v>
      </c>
      <c r="F136" s="19"/>
      <c r="G136" s="20">
        <v>-93.09</v>
      </c>
      <c r="H136" s="20"/>
      <c r="I136" s="20"/>
      <c r="J136" s="4"/>
      <c r="K136" s="2"/>
      <c r="L136" s="2"/>
    </row>
    <row r="137" spans="1:12" ht="15" customHeight="1" x14ac:dyDescent="0.3">
      <c r="A137" s="41"/>
      <c r="B137" s="14">
        <v>45985</v>
      </c>
      <c r="C137" s="48">
        <v>135</v>
      </c>
      <c r="D137" s="3" t="s">
        <v>152</v>
      </c>
      <c r="E137" s="21" t="s">
        <v>14</v>
      </c>
      <c r="F137" s="19"/>
      <c r="G137" s="20">
        <v>-28.5</v>
      </c>
      <c r="H137" s="20"/>
      <c r="I137" s="20"/>
      <c r="J137" s="4"/>
      <c r="K137" s="2"/>
      <c r="L137" s="2"/>
    </row>
    <row r="138" spans="1:12" ht="15" customHeight="1" x14ac:dyDescent="0.3">
      <c r="A138" s="41"/>
      <c r="B138" s="14">
        <v>45986</v>
      </c>
      <c r="C138" s="48">
        <v>136</v>
      </c>
      <c r="D138" s="81" t="s">
        <v>134</v>
      </c>
      <c r="E138" s="82" t="s">
        <v>21</v>
      </c>
      <c r="F138" s="19"/>
      <c r="G138" s="20">
        <v>-4.99</v>
      </c>
      <c r="H138" s="20"/>
      <c r="I138" s="20"/>
      <c r="J138" s="4"/>
      <c r="K138" s="2"/>
      <c r="L138" s="2"/>
    </row>
    <row r="139" spans="1:12" ht="15" customHeight="1" x14ac:dyDescent="0.3">
      <c r="A139" s="41"/>
      <c r="B139" s="14">
        <v>45992</v>
      </c>
      <c r="C139" s="48">
        <v>137</v>
      </c>
      <c r="D139" s="81" t="s">
        <v>46</v>
      </c>
      <c r="E139" s="82" t="s">
        <v>0</v>
      </c>
      <c r="F139" s="19"/>
      <c r="G139" s="20">
        <v>-36.26</v>
      </c>
      <c r="H139" s="20"/>
      <c r="I139" s="20"/>
      <c r="J139" s="4"/>
      <c r="K139" s="2"/>
      <c r="L139" s="2"/>
    </row>
    <row r="140" spans="1:12" ht="15" customHeight="1" x14ac:dyDescent="0.3">
      <c r="A140" s="41"/>
      <c r="B140" s="14">
        <v>45992</v>
      </c>
      <c r="C140" s="48">
        <v>138</v>
      </c>
      <c r="D140" s="81" t="s">
        <v>20</v>
      </c>
      <c r="E140" s="82" t="s">
        <v>20</v>
      </c>
      <c r="F140" s="19"/>
      <c r="G140" s="20">
        <v>-12</v>
      </c>
      <c r="H140" s="20"/>
      <c r="I140" s="20"/>
      <c r="J140" s="4"/>
      <c r="K140" s="2"/>
      <c r="L140" s="2"/>
    </row>
    <row r="141" spans="1:12" ht="15" customHeight="1" x14ac:dyDescent="0.3">
      <c r="A141" s="41"/>
      <c r="B141" s="14">
        <v>45995</v>
      </c>
      <c r="C141" s="48">
        <v>139</v>
      </c>
      <c r="D141" s="3" t="s">
        <v>156</v>
      </c>
      <c r="E141" s="82" t="s">
        <v>22</v>
      </c>
      <c r="F141" s="19"/>
      <c r="G141" s="20">
        <v>-20</v>
      </c>
      <c r="H141" s="20"/>
      <c r="I141" s="20"/>
      <c r="J141" s="4"/>
      <c r="K141" s="2"/>
      <c r="L141" s="2"/>
    </row>
    <row r="142" spans="1:12" ht="15" customHeight="1" x14ac:dyDescent="0.3">
      <c r="A142" s="41"/>
      <c r="B142" s="14">
        <v>46002</v>
      </c>
      <c r="C142" s="48">
        <v>140</v>
      </c>
      <c r="D142" s="3" t="s">
        <v>157</v>
      </c>
      <c r="E142" s="82" t="s">
        <v>0</v>
      </c>
      <c r="F142" s="19"/>
      <c r="G142" s="20">
        <v>-35.68</v>
      </c>
      <c r="H142" s="20"/>
      <c r="I142" s="20"/>
      <c r="J142" s="4"/>
      <c r="K142" s="2"/>
      <c r="L142" s="2"/>
    </row>
    <row r="143" spans="1:12" ht="15" customHeight="1" x14ac:dyDescent="0.3">
      <c r="A143" s="41"/>
      <c r="B143" s="14">
        <v>46003</v>
      </c>
      <c r="C143" s="48">
        <v>141</v>
      </c>
      <c r="D143" s="3" t="s">
        <v>158</v>
      </c>
      <c r="E143" s="2" t="s">
        <v>18</v>
      </c>
      <c r="F143" s="19"/>
      <c r="G143" s="20">
        <v>-347.62</v>
      </c>
      <c r="H143" s="20"/>
      <c r="I143" s="20"/>
      <c r="J143" s="4"/>
      <c r="K143" s="2"/>
      <c r="L143" s="2"/>
    </row>
    <row r="144" spans="1:12" ht="15" customHeight="1" x14ac:dyDescent="0.3">
      <c r="A144" s="41"/>
      <c r="B144" s="14">
        <v>46006</v>
      </c>
      <c r="C144" s="48">
        <v>142</v>
      </c>
      <c r="D144" s="3" t="s">
        <v>159</v>
      </c>
      <c r="E144" s="82" t="s">
        <v>0</v>
      </c>
      <c r="F144" s="19"/>
      <c r="G144" s="20">
        <v>-52.82</v>
      </c>
      <c r="H144" s="20"/>
      <c r="I144" s="20"/>
      <c r="J144" s="4"/>
      <c r="K144" s="2"/>
      <c r="L144" s="2"/>
    </row>
    <row r="145" spans="1:12" ht="15" customHeight="1" x14ac:dyDescent="0.3">
      <c r="A145" s="41"/>
      <c r="B145" s="14">
        <v>46008</v>
      </c>
      <c r="C145" s="48">
        <v>143</v>
      </c>
      <c r="D145" s="3" t="s">
        <v>103</v>
      </c>
      <c r="E145" s="21" t="s">
        <v>12</v>
      </c>
      <c r="F145" s="19"/>
      <c r="G145" s="20">
        <v>-600</v>
      </c>
      <c r="H145" s="20"/>
      <c r="I145" s="20"/>
      <c r="J145" s="4"/>
      <c r="K145" s="2"/>
      <c r="L145" s="2"/>
    </row>
    <row r="146" spans="1:12" ht="15" customHeight="1" x14ac:dyDescent="0.3">
      <c r="A146" s="41"/>
      <c r="B146" s="14">
        <v>46013</v>
      </c>
      <c r="C146" s="48">
        <v>144</v>
      </c>
      <c r="D146" s="37" t="s">
        <v>46</v>
      </c>
      <c r="E146" s="82" t="s">
        <v>0</v>
      </c>
      <c r="F146" s="19"/>
      <c r="G146" s="20">
        <v>-14.59</v>
      </c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145</v>
      </c>
      <c r="D147" s="3"/>
      <c r="E147" s="82"/>
      <c r="F147" s="19"/>
      <c r="G147" s="20"/>
      <c r="H147" s="20"/>
      <c r="I147" s="20"/>
      <c r="J147" s="4"/>
      <c r="K147" s="2"/>
    </row>
    <row r="148" spans="1:12" ht="15" customHeight="1" x14ac:dyDescent="0.3">
      <c r="A148" s="41"/>
      <c r="B148" s="14"/>
      <c r="C148" s="48">
        <v>146</v>
      </c>
      <c r="D148" s="3"/>
      <c r="E148" s="21"/>
      <c r="F148" s="16"/>
      <c r="G148" s="20"/>
      <c r="H148" s="20"/>
      <c r="I148" s="20"/>
      <c r="J148" s="4"/>
      <c r="K148" s="2"/>
      <c r="L148" s="2"/>
    </row>
    <row r="149" spans="1:12" ht="15" customHeight="1" x14ac:dyDescent="0.3">
      <c r="A149" s="41"/>
      <c r="B149" s="14"/>
      <c r="C149" s="48">
        <v>147</v>
      </c>
      <c r="D149" s="3"/>
      <c r="E149" s="21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148</v>
      </c>
      <c r="D150" s="37"/>
      <c r="E150" s="21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148</v>
      </c>
      <c r="D151" s="37"/>
      <c r="E151" s="21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149</v>
      </c>
      <c r="D152" s="3"/>
      <c r="E152" s="82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149.69999999999999</v>
      </c>
      <c r="D153" s="81"/>
      <c r="E153" s="82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151</v>
      </c>
      <c r="D154" s="81"/>
      <c r="E154" s="82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152</v>
      </c>
      <c r="D155" s="37"/>
      <c r="E155" s="21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153</v>
      </c>
      <c r="D156" s="37"/>
      <c r="E156" s="21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154.03</v>
      </c>
      <c r="D157" s="37"/>
      <c r="E157" s="21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155.06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156.09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157.12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246" ht="15" customHeight="1" x14ac:dyDescent="0.3">
      <c r="A161" s="41"/>
      <c r="B161" s="14"/>
      <c r="C161" s="48">
        <v>158.15</v>
      </c>
      <c r="D161" s="37"/>
      <c r="E161" s="18"/>
      <c r="F161" s="19"/>
      <c r="G161" s="20"/>
      <c r="H161" s="20"/>
      <c r="I161" s="20"/>
      <c r="J161" s="4"/>
      <c r="K161" s="2"/>
      <c r="L161" s="2"/>
    </row>
    <row r="162" spans="1:246" ht="15" customHeight="1" x14ac:dyDescent="0.3">
      <c r="A162" s="41"/>
      <c r="B162" s="14"/>
      <c r="C162" s="48">
        <v>159.18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246" ht="15" customHeight="1" x14ac:dyDescent="0.3">
      <c r="A163" s="41"/>
      <c r="B163" s="14"/>
      <c r="C163" s="48">
        <v>160.21</v>
      </c>
      <c r="D163" s="37"/>
      <c r="E163" s="21"/>
      <c r="F163" s="20"/>
      <c r="G163" s="20"/>
      <c r="H163" s="20"/>
      <c r="I163" s="20"/>
      <c r="J163" s="4"/>
      <c r="K163" s="2"/>
      <c r="L163" s="2"/>
    </row>
    <row r="164" spans="1:246" ht="15" customHeight="1" x14ac:dyDescent="0.3">
      <c r="A164" s="41"/>
      <c r="B164" s="14"/>
      <c r="C164" s="48">
        <v>161.24</v>
      </c>
      <c r="D164" s="37"/>
      <c r="E164" s="21"/>
      <c r="F164" s="19"/>
      <c r="G164" s="20"/>
      <c r="H164" s="20"/>
      <c r="I164" s="20"/>
      <c r="J164" s="4"/>
      <c r="K164" s="2"/>
      <c r="L164" s="2"/>
    </row>
    <row r="165" spans="1:246" ht="15" customHeight="1" x14ac:dyDescent="0.3">
      <c r="A165" s="41"/>
      <c r="B165" s="14"/>
      <c r="C165" s="48">
        <v>162.27000000000001</v>
      </c>
      <c r="D165" s="3"/>
      <c r="E165" s="82"/>
      <c r="F165" s="19"/>
      <c r="G165" s="20"/>
      <c r="H165" s="20"/>
      <c r="I165" s="20"/>
      <c r="J165" s="4"/>
      <c r="K165" s="2"/>
      <c r="L165" s="2"/>
    </row>
    <row r="166" spans="1:246" ht="15" customHeight="1" x14ac:dyDescent="0.3">
      <c r="A166" s="41"/>
      <c r="B166" s="14"/>
      <c r="C166" s="48">
        <v>163.30000000000001</v>
      </c>
      <c r="D166" s="37"/>
      <c r="E166" s="21"/>
      <c r="F166" s="19"/>
      <c r="G166" s="20"/>
      <c r="H166" s="20"/>
      <c r="I166" s="20"/>
      <c r="J166" s="4"/>
      <c r="K166" s="2"/>
      <c r="L166" s="2"/>
    </row>
    <row r="167" spans="1:246" ht="15" customHeight="1" x14ac:dyDescent="0.3">
      <c r="A167" s="41"/>
      <c r="B167" s="14"/>
      <c r="C167" s="48">
        <v>164.33</v>
      </c>
      <c r="D167" s="37"/>
      <c r="E167" s="18"/>
      <c r="F167" s="19"/>
      <c r="G167" s="20"/>
      <c r="H167" s="20"/>
      <c r="I167" s="20"/>
      <c r="J167" s="4"/>
      <c r="K167" s="2"/>
      <c r="L167" s="2"/>
    </row>
    <row r="168" spans="1:246" ht="15" customHeight="1" x14ac:dyDescent="0.3">
      <c r="A168" s="41"/>
      <c r="B168" s="14"/>
      <c r="C168" s="48">
        <v>165.36</v>
      </c>
      <c r="D168" s="37"/>
      <c r="E168" s="21"/>
      <c r="F168" s="19"/>
      <c r="G168" s="20"/>
      <c r="H168" s="20"/>
      <c r="I168" s="20"/>
      <c r="J168" s="4"/>
      <c r="K168" s="2"/>
      <c r="L168" s="2"/>
    </row>
    <row r="169" spans="1:246" ht="15" customHeight="1" x14ac:dyDescent="0.3">
      <c r="A169" s="41"/>
      <c r="B169" s="14"/>
      <c r="C169" s="48">
        <v>166.39</v>
      </c>
      <c r="D169" s="15"/>
      <c r="E169" s="18"/>
      <c r="F169" s="19"/>
      <c r="G169" s="20"/>
      <c r="H169" s="20"/>
      <c r="I169" s="20"/>
      <c r="J169" s="4"/>
      <c r="K169" s="2"/>
      <c r="L169" s="2"/>
    </row>
    <row r="170" spans="1:246" ht="15" customHeight="1" x14ac:dyDescent="0.3">
      <c r="A170" s="41"/>
      <c r="B170" s="14"/>
      <c r="C170" s="48">
        <v>167.42</v>
      </c>
      <c r="D170" s="15"/>
      <c r="E170" s="18"/>
      <c r="F170" s="19"/>
      <c r="G170" s="20"/>
      <c r="H170" s="20"/>
      <c r="I170" s="20"/>
      <c r="J170" s="4"/>
      <c r="K170" s="2"/>
      <c r="L170" s="2"/>
    </row>
    <row r="171" spans="1:246" ht="15" customHeight="1" x14ac:dyDescent="0.3">
      <c r="A171" s="41"/>
      <c r="B171" s="14"/>
      <c r="C171" s="48">
        <v>168.45</v>
      </c>
      <c r="D171" s="15"/>
      <c r="E171" s="18"/>
      <c r="F171" s="19"/>
      <c r="G171" s="20"/>
      <c r="H171" s="20"/>
      <c r="I171" s="20"/>
      <c r="J171" s="44"/>
      <c r="K171" s="2"/>
      <c r="L171" s="2"/>
    </row>
    <row r="172" spans="1:246" ht="15" customHeight="1" x14ac:dyDescent="0.3">
      <c r="A172" s="41"/>
      <c r="B172" s="14"/>
      <c r="C172" s="48">
        <v>169.48</v>
      </c>
      <c r="D172" s="15"/>
      <c r="E172" s="18"/>
      <c r="F172" s="19"/>
      <c r="G172" s="20"/>
      <c r="H172" s="20"/>
      <c r="I172" s="20"/>
      <c r="J172" s="44"/>
      <c r="K172" s="2"/>
      <c r="L172" s="2"/>
    </row>
    <row r="173" spans="1:246" ht="15" customHeight="1" x14ac:dyDescent="0.3">
      <c r="A173" s="41"/>
      <c r="B173" s="14"/>
      <c r="C173" s="48">
        <v>170.51</v>
      </c>
      <c r="D173" s="15"/>
      <c r="E173" s="18"/>
      <c r="F173" s="19"/>
      <c r="G173" s="20"/>
      <c r="H173" s="20"/>
      <c r="I173" s="20"/>
      <c r="J173" s="44"/>
      <c r="K173" s="2"/>
      <c r="L173" s="2"/>
    </row>
    <row r="174" spans="1:246" ht="15" customHeight="1" x14ac:dyDescent="0.3">
      <c r="A174" s="41"/>
      <c r="B174" s="14"/>
      <c r="C174" s="48"/>
      <c r="D174" s="37"/>
      <c r="E174" s="18"/>
      <c r="F174" s="19"/>
      <c r="G174" s="20"/>
      <c r="H174" s="20"/>
      <c r="I174" s="20"/>
      <c r="J174" s="44"/>
      <c r="K174" s="2"/>
      <c r="L174" s="2"/>
      <c r="IL174"/>
    </row>
    <row r="175" spans="1:246" ht="15" customHeight="1" x14ac:dyDescent="0.3">
      <c r="A175" s="42"/>
      <c r="B175" s="28" t="s">
        <v>15</v>
      </c>
      <c r="C175" s="49"/>
      <c r="D175" s="29"/>
      <c r="E175" s="30"/>
      <c r="F175" s="31">
        <f>SUM(F3:F174)</f>
        <v>-1105</v>
      </c>
      <c r="G175" s="32">
        <f>SUM(G3:G174)</f>
        <v>-9755.6499999999978</v>
      </c>
      <c r="H175" s="32">
        <f>SUM(H3:H174)</f>
        <v>0</v>
      </c>
      <c r="I175" s="32">
        <f>SUM(I3:I174)</f>
        <v>-169.03</v>
      </c>
      <c r="J175" s="2"/>
      <c r="K175" s="2"/>
      <c r="L175" s="2"/>
    </row>
    <row r="176" spans="1:246" ht="15" customHeight="1" x14ac:dyDescent="0.3">
      <c r="A176" s="42"/>
      <c r="B176" s="17"/>
      <c r="C176" s="17"/>
      <c r="D176" s="17"/>
      <c r="E176" s="17"/>
      <c r="F176" s="17"/>
      <c r="G176" s="17"/>
      <c r="H176" s="17"/>
      <c r="I176" s="17"/>
      <c r="J176" s="2"/>
      <c r="K176" s="2"/>
      <c r="L176" s="2"/>
    </row>
    <row r="177" spans="1:12" ht="15" customHeight="1" x14ac:dyDescent="0.3">
      <c r="A177" s="42"/>
      <c r="B177" s="17"/>
      <c r="C177" s="17"/>
      <c r="D177" s="17"/>
      <c r="E177" s="17"/>
      <c r="F177" s="17"/>
      <c r="G177" s="17"/>
      <c r="H177" s="17"/>
      <c r="I177" s="17"/>
      <c r="J177" s="2"/>
      <c r="K177" s="2"/>
      <c r="L177" s="2"/>
    </row>
    <row r="178" spans="1:12" ht="15" customHeight="1" x14ac:dyDescent="0.3">
      <c r="A178" s="42"/>
      <c r="B178" s="17"/>
      <c r="C178" s="17"/>
      <c r="D178" s="17"/>
      <c r="E178" s="17"/>
      <c r="F178" s="17"/>
      <c r="G178" s="17"/>
      <c r="H178" s="17"/>
      <c r="I178" s="17"/>
      <c r="J178" s="2"/>
      <c r="K178" s="2"/>
      <c r="L178" s="2"/>
    </row>
    <row r="179" spans="1:12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12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12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12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12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12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12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12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12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12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12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12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12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12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L239" s="2"/>
    </row>
    <row r="240" spans="1:12" ht="15" customHeight="1" x14ac:dyDescent="0.3">
      <c r="B240" s="17"/>
      <c r="C240" s="17"/>
      <c r="I240" s="17"/>
    </row>
    <row r="241" spans="2:9" ht="15" customHeight="1" x14ac:dyDescent="0.3">
      <c r="B241" s="17"/>
      <c r="I241" s="17"/>
    </row>
  </sheetData>
  <autoFilter ref="B2:J170" xr:uid="{00000000-0009-0000-0000-000001000000}"/>
  <mergeCells count="1">
    <mergeCell ref="B1:I1"/>
  </mergeCells>
  <conditionalFormatting sqref="A3:A239">
    <cfRule type="cellIs" dxfId="20" priority="481" stopIfTrue="1" operator="lessThan">
      <formula>0</formula>
    </cfRule>
  </conditionalFormatting>
  <conditionalFormatting sqref="B127:B140">
    <cfRule type="cellIs" dxfId="19" priority="464" stopIfTrue="1" operator="lessThan">
      <formula>0</formula>
    </cfRule>
  </conditionalFormatting>
  <conditionalFormatting sqref="B153:B241">
    <cfRule type="cellIs" dxfId="18" priority="21" stopIfTrue="1" operator="lessThan">
      <formula>0</formula>
    </cfRule>
  </conditionalFormatting>
  <conditionalFormatting sqref="C152 C154 C156 C158 C160 C162 C164 C170 C172">
    <cfRule type="cellIs" dxfId="17" priority="22" stopIfTrue="1" operator="lessThan">
      <formula>0</formula>
    </cfRule>
  </conditionalFormatting>
  <conditionalFormatting sqref="C174:C240 J176 I176:I241">
    <cfRule type="cellIs" dxfId="16" priority="711" stopIfTrue="1" operator="lessThan">
      <formula>0</formula>
    </cfRule>
  </conditionalFormatting>
  <conditionalFormatting sqref="D130">
    <cfRule type="cellIs" dxfId="15" priority="479" stopIfTrue="1" operator="lessThan">
      <formula>0</formula>
    </cfRule>
  </conditionalFormatting>
  <conditionalFormatting sqref="D146">
    <cfRule type="cellIs" dxfId="14" priority="66" stopIfTrue="1" operator="lessThan">
      <formula>0</formula>
    </cfRule>
  </conditionalFormatting>
  <conditionalFormatting sqref="D150:D151">
    <cfRule type="cellIs" dxfId="13" priority="450" stopIfTrue="1" operator="lessThan">
      <formula>0</formula>
    </cfRule>
  </conditionalFormatting>
  <conditionalFormatting sqref="D155:D160">
    <cfRule type="cellIs" dxfId="12" priority="7" stopIfTrue="1" operator="lessThan">
      <formula>0</formula>
    </cfRule>
  </conditionalFormatting>
  <conditionalFormatting sqref="D161:E162 D163:D164 C166:D166 D167:E167 C168:D168">
    <cfRule type="cellIs" dxfId="11" priority="14" stopIfTrue="1" operator="lessThan">
      <formula>0</formula>
    </cfRule>
  </conditionalFormatting>
  <conditionalFormatting sqref="D174:E176">
    <cfRule type="cellIs" dxfId="10" priority="16" stopIfTrue="1" operator="lessThan">
      <formula>0</formula>
    </cfRule>
  </conditionalFormatting>
  <conditionalFormatting sqref="D176:H239">
    <cfRule type="cellIs" dxfId="9" priority="663" stopIfTrue="1" operator="lessThan">
      <formula>0</formula>
    </cfRule>
  </conditionalFormatting>
  <conditionalFormatting sqref="E3:E121 E123:E129 E131:E142 E144:E160">
    <cfRule type="cellIs" dxfId="8" priority="2" stopIfTrue="1" operator="lessThan">
      <formula>0</formula>
    </cfRule>
  </conditionalFormatting>
  <conditionalFormatting sqref="E163:E166">
    <cfRule type="cellIs" dxfId="7" priority="4" stopIfTrue="1" operator="lessThan">
      <formula>0</formula>
    </cfRule>
  </conditionalFormatting>
  <conditionalFormatting sqref="E168:E173">
    <cfRule type="cellIs" dxfId="6" priority="3" stopIfTrue="1" operator="lessThan">
      <formula>0</formula>
    </cfRule>
  </conditionalFormatting>
  <conditionalFormatting sqref="F62:F63">
    <cfRule type="cellIs" dxfId="5" priority="372" stopIfTrue="1" operator="lessThan">
      <formula>0</formula>
    </cfRule>
  </conditionalFormatting>
  <conditionalFormatting sqref="F66:F67">
    <cfRule type="cellIs" dxfId="4" priority="1" stopIfTrue="1" operator="lessThan">
      <formula>0</formula>
    </cfRule>
  </conditionalFormatting>
  <conditionalFormatting sqref="F96:F97">
    <cfRule type="cellIs" dxfId="3" priority="124" stopIfTrue="1" operator="lessThan">
      <formula>0</formula>
    </cfRule>
  </conditionalFormatting>
  <conditionalFormatting sqref="F114">
    <cfRule type="cellIs" dxfId="2" priority="8" stopIfTrue="1" operator="lessThan">
      <formula>0</formula>
    </cfRule>
  </conditionalFormatting>
  <conditionalFormatting sqref="F148">
    <cfRule type="cellIs" dxfId="1" priority="23" stopIfTrue="1" operator="lessThan">
      <formula>0</formula>
    </cfRule>
  </conditionalFormatting>
  <dataValidations count="2">
    <dataValidation type="list" allowBlank="1" showInputMessage="1" showErrorMessage="1" sqref="E53:E121 E3:E51 E123:E129 E131:E142 E144:E174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2025-12-23T17:13:32Z</dcterms:modified>
</cp:coreProperties>
</file>