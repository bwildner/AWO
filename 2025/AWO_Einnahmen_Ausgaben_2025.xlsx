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34C9DDAB-B075-4BA5-BDD8-5890455DF08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Einnahmen!$A$2:$H$117</definedName>
    <definedName name="_xlnm.Print_Area" localSheetId="1">Ausgaben!$A$1:$I$177</definedName>
    <definedName name="_xlnm.Print_Area" localSheetId="0">Einnahmen!$A$1:$H$125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21" i="4" l="1"/>
  <c r="G121" i="4"/>
  <c r="E121" i="4"/>
  <c r="F121" i="4"/>
  <c r="F178" i="1"/>
  <c r="H178" i="1"/>
  <c r="I178" i="1"/>
  <c r="H123" i="4" l="1"/>
  <c r="F123" i="4"/>
  <c r="E123" i="4"/>
  <c r="G123" i="4"/>
  <c r="D125" i="4" l="1"/>
</calcChain>
</file>

<file path=xl/sharedStrings.xml><?xml version="1.0" encoding="utf-8"?>
<sst xmlns="http://schemas.openxmlformats.org/spreadsheetml/2006/main" count="592" uniqueCount="179">
  <si>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</si>
  <si>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</si>
  <si>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</si>
  <si>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</si>
  <si>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</si>
  <si>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</si>
  <si>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</si>
  <si>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</si>
  <si>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</si>
  <si>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</si>
  <si>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</si>
  <si>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</si>
  <si>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</si>
  <si>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</si>
  <si>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</si>
  <si>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</si>
  <si>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</si>
  <si>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</si>
  <si>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</si>
  <si>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</si>
  <si>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</si>
  <si>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</si>
  <si>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</si>
  <si>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</si>
  <si>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</si>
  <si>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</si>
  <si>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</si>
  <si>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</si>
  <si>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</si>
  <si>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</si>
  <si>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</si>
  <si>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</si>
  <si>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</si>
  <si>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</si>
  <si>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</si>
  <si>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</si>
  <si>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</si>
  <si>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</si>
  <si>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</si>
  <si>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</si>
  <si>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</si>
  <si>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</si>
  <si>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</si>
  <si>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</si>
  <si>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</si>
  <si>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</si>
  <si>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</si>
  <si>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</si>
  <si>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</si>
  <si>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</si>
  <si>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</si>
  <si>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</si>
  <si>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</si>
  <si>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</si>
  <si>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</si>
  <si>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</si>
  <si>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</si>
  <si>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</si>
  <si>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</si>
  <si>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</si>
  <si>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</si>
  <si>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</si>
  <si>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</si>
  <si>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</si>
  <si>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</si>
  <si>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</si>
  <si>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</si>
  <si>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</si>
  <si>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</si>
  <si>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</si>
  <si>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</si>
  <si>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</si>
  <si>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</si>
  <si>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</si>
  <si>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</si>
  <si>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</si>
  <si>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</si>
  <si>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</si>
  <si>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</si>
  <si>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</si>
  <si>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</si>
  <si>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</si>
  <si>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</si>
  <si>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</si>
  <si>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</si>
  <si>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</si>
  <si>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</si>
  <si>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</si>
  <si>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</si>
  <si>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</si>
  <si>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</si>
  <si>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</si>
  <si>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</si>
  <si>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</si>
  <si>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</si>
  <si>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</si>
  <si>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</si>
  <si>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</si>
  <si>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</si>
  <si>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</si>
  <si>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</si>
  <si>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</si>
  <si>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</si>
  <si>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</si>
  <si>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</si>
  <si>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</si>
  <si>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</si>
  <si>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</si>
  <si>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</si>
  <si>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</si>
  <si>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</si>
  <si>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</si>
  <si>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</si>
  <si>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</si>
  <si>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</si>
  <si>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</si>
  <si>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</si>
  <si>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</si>
  <si>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</si>
  <si>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</si>
  <si>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</si>
  <si>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</si>
  <si>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</si>
  <si>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</si>
  <si>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</si>
  <si>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</si>
  <si>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</si>
  <si>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</si>
  <si>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</si>
  <si>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</si>
  <si>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</si>
  <si>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</si>
  <si>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</si>
  <si>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</si>
  <si>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</si>
  <si>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</si>
  <si>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</si>
  <si>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</si>
  <si>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</si>
  <si>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</si>
  <si>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</si>
  <si>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</si>
  <si>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</si>
  <si>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</si>
  <si>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</si>
  <si>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</si>
  <si>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</si>
  <si>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</si>
  <si>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</si>
  <si>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</si>
  <si>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</si>
  <si>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</si>
  <si>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</si>
  <si>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</si>
  <si>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</si>
  <si>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</si>
  <si>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Glühw, Würstle</t>
  </si>
  <si>
    <t>tzgl 25.11.</t>
  </si>
  <si>
    <t>günne senioren 27.11.</t>
  </si>
  <si>
    <t>W.feier (W.Markt 1145, 795 W.feier)</t>
  </si>
  <si>
    <t>W.markt, Standgeld</t>
  </si>
  <si>
    <t>W.markt, Waffeln, Mus</t>
  </si>
  <si>
    <t>W.päckle Schoki</t>
  </si>
  <si>
    <t>W.markt Wasser, Schnaps, Sekt</t>
  </si>
  <si>
    <t>138a</t>
  </si>
  <si>
    <t>138b</t>
  </si>
  <si>
    <t>W.markt Gulasch Kosten</t>
  </si>
  <si>
    <t>67a</t>
  </si>
  <si>
    <t>Spende Tombola Haka</t>
  </si>
  <si>
    <t>67b</t>
  </si>
  <si>
    <t>Spende Tombola Brunnen Apotheke</t>
  </si>
  <si>
    <t>67c</t>
  </si>
  <si>
    <t>Spende Kuchen Steibing (100€)</t>
  </si>
  <si>
    <t>69a</t>
  </si>
  <si>
    <t>Spende Fr.Fanta (100€)</t>
  </si>
  <si>
    <t>71a</t>
  </si>
  <si>
    <t>Spende Tombola Gutscheine 50€+Orangen+Deko für Päckle</t>
  </si>
  <si>
    <t>Spende W.feier Fr. Fanta (siehe E69a)</t>
  </si>
  <si>
    <t>Spende Müssle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</si>
</sst>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2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1">
      <pivotArea field="0" type="button" dataOnly="0" labelOnly="1" outline="0" axis="axisRow" fieldPosition="0"/>
    </format>
    <format dxfId="50">
      <pivotArea dataOnly="0" labelOnly="1" fieldPosition="0">
        <references count="1">
          <reference field="0" count="0"/>
        </references>
      </pivotArea>
    </format>
    <format dxfId="49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6"/>
  <sheetViews>
    <sheetView showGridLines="0" tabSelected="1" zoomScaleNormal="100" workbookViewId="0">
      <pane ySplit="2" topLeftCell="A82" activePane="bottomLeft" state="frozen"/>
      <selection pane="bottomLeft" activeCell="H88" sqref="H88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148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153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154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45986</v>
      </c>
      <c r="B77" s="15" t="s">
        <v>169</v>
      </c>
      <c r="C77" s="15" t="s">
        <v>170</v>
      </c>
      <c r="D77" s="18" t="s">
        <v>18</v>
      </c>
      <c r="E77" s="16"/>
      <c r="F77" s="17">
        <v>0</v>
      </c>
      <c r="G77" s="17"/>
      <c r="H77" s="17"/>
      <c r="I77" s="2"/>
      <c r="J77" s="2"/>
    </row>
    <row r="78" spans="1:10" s="1" customFormat="1" ht="15" customHeight="1" x14ac:dyDescent="0.3">
      <c r="A78" s="14">
        <v>45988</v>
      </c>
      <c r="B78" s="15" t="s">
        <v>167</v>
      </c>
      <c r="C78" s="15" t="s">
        <v>168</v>
      </c>
      <c r="D78" s="18" t="s">
        <v>18</v>
      </c>
      <c r="E78" s="16"/>
      <c r="F78" s="17">
        <v>0</v>
      </c>
      <c r="G78" s="17"/>
      <c r="H78" s="17"/>
      <c r="I78" s="2"/>
      <c r="J78" s="2"/>
    </row>
    <row r="79" spans="1:10" s="1" customFormat="1" ht="15" customHeight="1" x14ac:dyDescent="0.3">
      <c r="A79" s="14">
        <v>45992</v>
      </c>
      <c r="B79" s="15" t="s">
        <v>171</v>
      </c>
      <c r="C79" s="15" t="s">
        <v>172</v>
      </c>
      <c r="D79" s="18" t="s">
        <v>18</v>
      </c>
      <c r="E79" s="16"/>
      <c r="F79" s="17">
        <v>0</v>
      </c>
      <c r="G79" s="17"/>
      <c r="H79" s="17"/>
      <c r="I79" s="2"/>
      <c r="J79" s="2"/>
    </row>
    <row r="80" spans="1:10" s="1" customFormat="1" ht="15" customHeight="1" x14ac:dyDescent="0.3">
      <c r="A80" s="14">
        <v>45993</v>
      </c>
      <c r="B80" s="15">
        <v>68</v>
      </c>
      <c r="C80" s="15" t="s">
        <v>157</v>
      </c>
      <c r="D80" s="18" t="s">
        <v>0</v>
      </c>
      <c r="E80" s="19"/>
      <c r="F80" s="17"/>
      <c r="G80" s="17"/>
      <c r="H80" s="17">
        <v>103</v>
      </c>
      <c r="I80" s="2"/>
      <c r="J80" s="2"/>
    </row>
    <row r="81" spans="1:10" s="1" customFormat="1" ht="15" customHeight="1" x14ac:dyDescent="0.3">
      <c r="A81" s="14">
        <v>45993</v>
      </c>
      <c r="B81" s="15">
        <v>69</v>
      </c>
      <c r="C81" s="15" t="s">
        <v>158</v>
      </c>
      <c r="D81" s="18" t="s">
        <v>0</v>
      </c>
      <c r="E81" s="16"/>
      <c r="F81" s="17"/>
      <c r="G81" s="17"/>
      <c r="H81" s="17">
        <v>70</v>
      </c>
      <c r="I81" s="2"/>
      <c r="J81" s="2"/>
    </row>
    <row r="82" spans="1:10" s="1" customFormat="1" ht="15" customHeight="1" x14ac:dyDescent="0.3">
      <c r="A82" s="14">
        <v>46005</v>
      </c>
      <c r="B82" s="15" t="s">
        <v>173</v>
      </c>
      <c r="C82" s="15" t="s">
        <v>174</v>
      </c>
      <c r="D82" s="18" t="s">
        <v>18</v>
      </c>
      <c r="E82" s="16"/>
      <c r="F82" s="17">
        <v>0</v>
      </c>
      <c r="G82" s="17"/>
      <c r="H82" s="17"/>
      <c r="I82" s="2"/>
      <c r="J82" s="2"/>
    </row>
    <row r="83" spans="1:10" s="1" customFormat="1" ht="15" customHeight="1" x14ac:dyDescent="0.3">
      <c r="A83" s="14">
        <v>46006</v>
      </c>
      <c r="B83" s="15">
        <v>70</v>
      </c>
      <c r="C83" s="15" t="s">
        <v>46</v>
      </c>
      <c r="D83" s="18" t="s">
        <v>0</v>
      </c>
      <c r="E83" s="16"/>
      <c r="F83" s="17"/>
      <c r="G83" s="17"/>
      <c r="H83" s="17">
        <v>104</v>
      </c>
      <c r="I83" s="2"/>
      <c r="J83" s="2"/>
    </row>
    <row r="84" spans="1:10" s="1" customFormat="1" ht="15" customHeight="1" x14ac:dyDescent="0.3">
      <c r="A84" s="14">
        <v>46006</v>
      </c>
      <c r="B84" s="15">
        <v>71</v>
      </c>
      <c r="C84" s="15" t="s">
        <v>159</v>
      </c>
      <c r="D84" s="18" t="s">
        <v>0</v>
      </c>
      <c r="E84" s="16"/>
      <c r="F84" s="17"/>
      <c r="G84" s="17"/>
      <c r="H84" s="17">
        <v>1940</v>
      </c>
      <c r="I84" s="2"/>
      <c r="J84" s="2"/>
    </row>
    <row r="85" spans="1:10" s="1" customFormat="1" ht="15" customHeight="1" x14ac:dyDescent="0.3">
      <c r="A85" s="14">
        <v>46007</v>
      </c>
      <c r="B85" s="15" t="s">
        <v>175</v>
      </c>
      <c r="C85" s="15" t="s">
        <v>176</v>
      </c>
      <c r="D85" s="18" t="s">
        <v>18</v>
      </c>
      <c r="E85" s="16"/>
      <c r="F85" s="17">
        <v>0</v>
      </c>
      <c r="G85" s="17"/>
      <c r="H85" s="17"/>
      <c r="I85" s="2"/>
      <c r="J85" s="2"/>
    </row>
    <row r="86" spans="1:10" s="1" customFormat="1" ht="15" customHeight="1" x14ac:dyDescent="0.3">
      <c r="A86" s="14">
        <v>46014</v>
      </c>
      <c r="B86" s="15">
        <v>72</v>
      </c>
      <c r="C86" s="15" t="s">
        <v>177</v>
      </c>
      <c r="D86" s="18" t="s">
        <v>0</v>
      </c>
      <c r="E86" s="16"/>
      <c r="F86" s="17">
        <v>100</v>
      </c>
      <c r="G86" s="17"/>
      <c r="H86" s="17"/>
      <c r="I86" s="2"/>
      <c r="J86" s="2"/>
    </row>
    <row r="87" spans="1:10" s="1" customFormat="1" ht="15" customHeight="1" x14ac:dyDescent="0.3">
      <c r="A87" s="14">
        <v>46020</v>
      </c>
      <c r="B87" s="15">
        <v>73</v>
      </c>
      <c r="C87" s="15" t="s">
        <v>178</v>
      </c>
      <c r="D87" s="18" t="s">
        <v>12</v>
      </c>
      <c r="E87" s="16"/>
      <c r="F87" s="17"/>
      <c r="G87" s="17"/>
      <c r="H87" s="17">
        <v>100</v>
      </c>
      <c r="I87" s="2"/>
      <c r="J87" s="2"/>
    </row>
    <row r="88" spans="1:10" s="1" customFormat="1" ht="15" customHeight="1" x14ac:dyDescent="0.3">
      <c r="A88" s="14"/>
      <c r="B88" s="15">
        <v>74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75</v>
      </c>
      <c r="C89" s="15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76</v>
      </c>
      <c r="C90" s="37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77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78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79</v>
      </c>
      <c r="C93" s="50"/>
      <c r="D93" s="18"/>
      <c r="E93" s="51"/>
      <c r="F93" s="20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80</v>
      </c>
      <c r="C94" s="50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81</v>
      </c>
      <c r="C95" s="50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82</v>
      </c>
      <c r="C96" s="50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83</v>
      </c>
      <c r="C97" s="50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84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85</v>
      </c>
      <c r="C99" s="3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86</v>
      </c>
      <c r="C100" s="3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87</v>
      </c>
      <c r="C101" s="3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88</v>
      </c>
      <c r="C102" s="3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48">
        <v>89</v>
      </c>
      <c r="C103" s="37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94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95</v>
      </c>
      <c r="C109" s="37"/>
      <c r="D109" s="18"/>
      <c r="E109" s="20"/>
      <c r="F109" s="20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96</v>
      </c>
      <c r="C110" s="37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97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98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>
        <v>99</v>
      </c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>
        <v>100</v>
      </c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>
        <v>101</v>
      </c>
      <c r="C115" s="15"/>
      <c r="D115" s="18"/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14"/>
      <c r="B116" s="15">
        <v>102</v>
      </c>
      <c r="C116" s="15"/>
      <c r="D116" s="18"/>
      <c r="E116" s="16"/>
      <c r="F116" s="17"/>
      <c r="G116" s="17"/>
      <c r="H116" s="17"/>
      <c r="I116" s="2"/>
      <c r="J116" s="2"/>
    </row>
    <row r="117" spans="1:10" s="1" customFormat="1" ht="15" customHeight="1" x14ac:dyDescent="0.3">
      <c r="A117" s="14"/>
      <c r="B117" s="15">
        <v>103</v>
      </c>
      <c r="C117" s="15"/>
      <c r="D117" s="18"/>
      <c r="E117" s="16"/>
      <c r="F117" s="17"/>
      <c r="G117" s="17"/>
      <c r="H117" s="17"/>
      <c r="I117" s="2"/>
      <c r="J117" s="2"/>
    </row>
    <row r="118" spans="1:10" s="1" customFormat="1" ht="15" customHeight="1" x14ac:dyDescent="0.3">
      <c r="A118" s="14"/>
      <c r="B118" s="15"/>
      <c r="C118" s="15"/>
      <c r="D118" s="18"/>
      <c r="E118" s="16"/>
      <c r="F118" s="17"/>
      <c r="G118" s="17"/>
      <c r="H118" s="17"/>
      <c r="I118" s="2"/>
      <c r="J118" s="2"/>
    </row>
    <row r="119" spans="1:10" s="1" customFormat="1" ht="15" customHeight="1" x14ac:dyDescent="0.3">
      <c r="A119" s="14"/>
      <c r="B119" s="15"/>
      <c r="C119" s="15"/>
      <c r="D119" s="18"/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14"/>
      <c r="B120" s="15"/>
      <c r="C120" s="15"/>
      <c r="D120" s="18"/>
      <c r="E120" s="16"/>
      <c r="F120" s="17"/>
      <c r="G120" s="17"/>
      <c r="H120" s="17"/>
      <c r="I120" s="2" t="s">
        <v>31</v>
      </c>
      <c r="J120" s="2"/>
    </row>
    <row r="121" spans="1:10" s="1" customFormat="1" ht="15" customHeight="1" x14ac:dyDescent="0.3">
      <c r="A121" s="22" t="s">
        <v>15</v>
      </c>
      <c r="B121" s="23"/>
      <c r="C121" s="23"/>
      <c r="D121" s="24"/>
      <c r="E121" s="25">
        <f>SUM(E3:E120)</f>
        <v>1105</v>
      </c>
      <c r="F121" s="26">
        <f>SUM(F3:F120)</f>
        <v>10652.430000000022</v>
      </c>
      <c r="G121" s="26">
        <f>SUM(G3:G120)</f>
        <v>2000.5</v>
      </c>
      <c r="H121" s="26">
        <f>SUM(H3:H120)</f>
        <v>4219.9999999999991</v>
      </c>
      <c r="I121" s="2"/>
      <c r="J121" s="2"/>
    </row>
    <row r="122" spans="1:10" s="1" customFormat="1" ht="15" customHeight="1" x14ac:dyDescent="0.3">
      <c r="A122" s="33"/>
      <c r="B122" s="33"/>
      <c r="C122" s="33"/>
      <c r="D122" s="33"/>
      <c r="E122" s="34"/>
      <c r="F122" s="34"/>
      <c r="G122" s="34"/>
      <c r="H122" s="34"/>
      <c r="I122" s="2"/>
      <c r="J122" s="2"/>
    </row>
    <row r="123" spans="1:10" s="1" customFormat="1" ht="15" customHeight="1" x14ac:dyDescent="0.3">
      <c r="A123" s="22" t="s">
        <v>16</v>
      </c>
      <c r="B123" s="23"/>
      <c r="C123" s="23"/>
      <c r="D123" s="45"/>
      <c r="E123" s="26">
        <f>E121+Ausgaben!F178</f>
        <v>0</v>
      </c>
      <c r="F123" s="26">
        <f>F121+Ausgaben!G178</f>
        <v>577.79000000002452</v>
      </c>
      <c r="G123" s="26">
        <f>G121+Ausgaben!H178</f>
        <v>2000.5</v>
      </c>
      <c r="H123" s="26">
        <f>H121+Ausgaben!I178</f>
        <v>4050.9699999999989</v>
      </c>
      <c r="I123" s="2"/>
      <c r="J123" s="2"/>
    </row>
    <row r="124" spans="1:10" s="1" customFormat="1" ht="15" customHeight="1" x14ac:dyDescent="0.3">
      <c r="A124" s="35"/>
      <c r="B124" s="35"/>
      <c r="C124" s="35"/>
      <c r="D124" s="35"/>
      <c r="E124" s="13"/>
      <c r="F124" s="13"/>
      <c r="G124" s="13"/>
      <c r="H124" s="13"/>
      <c r="I124" s="2"/>
      <c r="J124" s="2"/>
    </row>
    <row r="125" spans="1:10" s="1" customFormat="1" ht="15" customHeight="1" x14ac:dyDescent="0.3">
      <c r="A125" s="5" t="s">
        <v>17</v>
      </c>
      <c r="B125" s="5"/>
      <c r="C125" s="22"/>
      <c r="D125" s="27">
        <f>SUM(E123:H123)</f>
        <v>6629.2600000000239</v>
      </c>
      <c r="E125" s="16"/>
      <c r="F125" s="17"/>
      <c r="G125" s="17"/>
      <c r="H125" s="17"/>
      <c r="I125" s="2"/>
      <c r="J125" s="2"/>
    </row>
    <row r="126" spans="1:10" s="1" customFormat="1" ht="15" customHeight="1" x14ac:dyDescent="0.3">
      <c r="A126" s="36"/>
      <c r="B126" s="36"/>
      <c r="C126" s="36"/>
      <c r="D126" s="36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 t="s">
        <v>43</v>
      </c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s="1" customFormat="1" ht="15" customHeight="1" x14ac:dyDescent="0.3">
      <c r="A181" s="2"/>
      <c r="B181" s="2"/>
      <c r="C181" s="2"/>
      <c r="D181" s="2"/>
      <c r="E181" s="17"/>
      <c r="F181" s="17"/>
      <c r="G181" s="17"/>
      <c r="H181" s="17"/>
      <c r="I181" s="2"/>
      <c r="J181" s="2"/>
    </row>
    <row r="182" spans="1:10" s="1" customFormat="1" ht="15" customHeight="1" x14ac:dyDescent="0.3">
      <c r="A182" s="2"/>
      <c r="B182" s="2"/>
      <c r="C182" s="2"/>
      <c r="D182" s="2"/>
      <c r="E182" s="17"/>
      <c r="F182" s="17"/>
      <c r="G182" s="17"/>
      <c r="H182" s="17"/>
      <c r="I182" s="2"/>
      <c r="J182" s="2"/>
    </row>
    <row r="183" spans="1:10" s="1" customFormat="1" ht="15" customHeight="1" x14ac:dyDescent="0.3">
      <c r="A183" s="2"/>
      <c r="B183" s="2"/>
      <c r="C183" s="2"/>
      <c r="D183" s="2"/>
      <c r="E183" s="17"/>
      <c r="F183" s="17"/>
      <c r="G183" s="17"/>
      <c r="H183" s="17"/>
      <c r="I183" s="2"/>
      <c r="J183" s="2"/>
    </row>
    <row r="184" spans="1:10" s="1" customFormat="1" ht="15" customHeight="1" x14ac:dyDescent="0.3">
      <c r="A184" s="2"/>
      <c r="B184" s="2"/>
      <c r="C184" s="2"/>
      <c r="D184" s="2"/>
      <c r="E184" s="17"/>
      <c r="F184" s="17"/>
      <c r="G184" s="17"/>
      <c r="H184" s="17"/>
      <c r="I184" s="2"/>
      <c r="J184" s="2"/>
    </row>
    <row r="185" spans="1:10" s="1" customFormat="1" ht="15" customHeight="1" x14ac:dyDescent="0.3">
      <c r="A185" s="2"/>
      <c r="B185" s="2"/>
      <c r="C185" s="2"/>
      <c r="D185" s="2"/>
      <c r="E185" s="17"/>
      <c r="F185" s="17"/>
      <c r="G185" s="17"/>
      <c r="H185" s="17"/>
      <c r="I185" s="2"/>
      <c r="J185" s="2"/>
    </row>
    <row r="186" spans="1:10" ht="15" customHeight="1" x14ac:dyDescent="0.3">
      <c r="J186" s="2"/>
    </row>
  </sheetData>
  <autoFilter ref="A2:H117" xr:uid="{00000000-0009-0000-0000-000000000000}"/>
  <mergeCells count="1">
    <mergeCell ref="A1:H1"/>
  </mergeCells>
  <conditionalFormatting sqref="A104:A107">
    <cfRule type="cellIs" dxfId="48" priority="55" stopIfTrue="1" operator="lessThan">
      <formula>0</formula>
    </cfRule>
  </conditionalFormatting>
  <conditionalFormatting sqref="B93">
    <cfRule type="cellIs" dxfId="47" priority="197" stopIfTrue="1" operator="lessThan">
      <formula>0</formula>
    </cfRule>
  </conditionalFormatting>
  <conditionalFormatting sqref="C109:D110">
    <cfRule type="cellIs" dxfId="46" priority="50" stopIfTrue="1" operator="lessThan">
      <formula>0</formula>
    </cfRule>
  </conditionalFormatting>
  <conditionalFormatting sqref="D4:D72">
    <cfRule type="cellIs" dxfId="45" priority="5" stopIfTrue="1" operator="lessThan">
      <formula>0</formula>
    </cfRule>
  </conditionalFormatting>
  <conditionalFormatting sqref="D74:D87">
    <cfRule type="cellIs" dxfId="44" priority="4" stopIfTrue="1" operator="lessThan">
      <formula>0</formula>
    </cfRule>
  </conditionalFormatting>
  <conditionalFormatting sqref="D93:D99">
    <cfRule type="cellIs" dxfId="43" priority="14" stopIfTrue="1" operator="lessThan">
      <formula>0</formula>
    </cfRule>
  </conditionalFormatting>
  <conditionalFormatting sqref="D92:F92">
    <cfRule type="cellIs" dxfId="42" priority="15" stopIfTrue="1" operator="lessThan">
      <formula>0</formula>
    </cfRule>
  </conditionalFormatting>
  <conditionalFormatting sqref="D73:G73 E74:G79 G92:G93">
    <cfRule type="cellIs" dxfId="41" priority="69" stopIfTrue="1" operator="lessThan">
      <formula>0</formula>
    </cfRule>
  </conditionalFormatting>
  <conditionalFormatting sqref="D88:G91">
    <cfRule type="cellIs" dxfId="40" priority="16" stopIfTrue="1" operator="lessThan">
      <formula>0</formula>
    </cfRule>
  </conditionalFormatting>
  <conditionalFormatting sqref="D111:G120">
    <cfRule type="cellIs" dxfId="39" priority="48" stopIfTrue="1" operator="lessThan">
      <formula>0</formula>
    </cfRule>
  </conditionalFormatting>
  <conditionalFormatting sqref="E24">
    <cfRule type="cellIs" dxfId="38" priority="75" stopIfTrue="1" operator="lessThan">
      <formula>0</formula>
    </cfRule>
  </conditionalFormatting>
  <conditionalFormatting sqref="E35:F39">
    <cfRule type="cellIs" dxfId="37" priority="39" stopIfTrue="1" operator="lessThan">
      <formula>0</formula>
    </cfRule>
  </conditionalFormatting>
  <conditionalFormatting sqref="E43:F44">
    <cfRule type="cellIs" dxfId="36" priority="13" stopIfTrue="1" operator="lessThan">
      <formula>0</formula>
    </cfRule>
  </conditionalFormatting>
  <conditionalFormatting sqref="E48:F48">
    <cfRule type="cellIs" dxfId="35" priority="35" stopIfTrue="1" operator="lessThan">
      <formula>0</formula>
    </cfRule>
  </conditionalFormatting>
  <conditionalFormatting sqref="E57:F62">
    <cfRule type="cellIs" dxfId="34" priority="9" stopIfTrue="1" operator="lessThan">
      <formula>0</formula>
    </cfRule>
  </conditionalFormatting>
  <conditionalFormatting sqref="E14:G14">
    <cfRule type="cellIs" dxfId="33" priority="285" stopIfTrue="1" operator="lessThan">
      <formula>0</formula>
    </cfRule>
  </conditionalFormatting>
  <conditionalFormatting sqref="E40:G42 G43:G49">
    <cfRule type="cellIs" dxfId="32" priority="37" stopIfTrue="1" operator="lessThan">
      <formula>0</formula>
    </cfRule>
  </conditionalFormatting>
  <conditionalFormatting sqref="E50:G51 G52:G54 E53:F54 F55:G55 G56 G58:G62">
    <cfRule type="cellIs" dxfId="31" priority="95" stopIfTrue="1" operator="lessThan">
      <formula>0</formula>
    </cfRule>
  </conditionalFormatting>
  <conditionalFormatting sqref="E66:G72">
    <cfRule type="cellIs" dxfId="30" priority="7" stopIfTrue="1" operator="lessThan">
      <formula>0</formula>
    </cfRule>
  </conditionalFormatting>
  <conditionalFormatting sqref="E81:G87">
    <cfRule type="cellIs" dxfId="29" priority="1" stopIfTrue="1" operator="lessThan">
      <formula>0</formula>
    </cfRule>
  </conditionalFormatting>
  <conditionalFormatting sqref="E94:G99 D100:G108">
    <cfRule type="cellIs" dxfId="28" priority="51" stopIfTrue="1" operator="lessThan">
      <formula>0</formula>
    </cfRule>
  </conditionalFormatting>
  <conditionalFormatting sqref="E3:H3 G109 E110:G110 D120:H120 E121:H185 D125">
    <cfRule type="cellIs" dxfId="27" priority="349" stopIfTrue="1" operator="lessThan">
      <formula>0</formula>
    </cfRule>
  </conditionalFormatting>
  <conditionalFormatting sqref="F25:G25">
    <cfRule type="cellIs" dxfId="26" priority="270" stopIfTrue="1" operator="lessThan">
      <formula>0</formula>
    </cfRule>
  </conditionalFormatting>
  <conditionalFormatting sqref="F63:G64">
    <cfRule type="cellIs" dxfId="25" priority="12" stopIfTrue="1" operator="lessThan">
      <formula>0</formula>
    </cfRule>
  </conditionalFormatting>
  <conditionalFormatting sqref="F80:G80">
    <cfRule type="cellIs" dxfId="24" priority="67" stopIfTrue="1" operator="lessThan">
      <formula>0</formula>
    </cfRule>
  </conditionalFormatting>
  <conditionalFormatting sqref="G4:G13 H4:H27 H29:H56 G57:H57 H58:H120 D65:G65 A103:C103">
    <cfRule type="cellIs" dxfId="23" priority="183" stopIfTrue="1" operator="lessThan">
      <formula>0</formula>
    </cfRule>
  </conditionalFormatting>
  <conditionalFormatting sqref="G15:G24">
    <cfRule type="cellIs" dxfId="22" priority="108" stopIfTrue="1" operator="lessThan">
      <formula>0</formula>
    </cfRule>
  </conditionalFormatting>
  <conditionalFormatting sqref="G26:G27">
    <cfRule type="cellIs" dxfId="21" priority="267" stopIfTrue="1" operator="lessThan">
      <formula>0</formula>
    </cfRule>
  </conditionalFormatting>
  <conditionalFormatting sqref="G29:G39">
    <cfRule type="cellIs" dxfId="20" priority="124" stopIfTrue="1" operator="lessThan">
      <formula>0</formula>
    </cfRule>
  </conditionalFormatting>
  <conditionalFormatting sqref="G28:H28">
    <cfRule type="cellIs" dxfId="19" priority="44" stopIfTrue="1" operator="lessThan">
      <formula>0</formula>
    </cfRule>
  </conditionalFormatting>
  <dataValidations count="1">
    <dataValidation type="list" allowBlank="1" showInputMessage="1" showErrorMessage="1" sqref="D3:D12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33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124" activePane="bottomLeft" state="frozen"/>
      <selection pane="bottomLeft" activeCell="G152" sqref="G152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160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147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149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150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151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152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151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>
        <v>45992</v>
      </c>
      <c r="C139" s="48">
        <v>137</v>
      </c>
      <c r="D139" s="81" t="s">
        <v>46</v>
      </c>
      <c r="E139" s="82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81" t="s">
        <v>20</v>
      </c>
      <c r="E140" s="82" t="s">
        <v>20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customHeight="1" x14ac:dyDescent="0.3">
      <c r="A141" s="41"/>
      <c r="B141" s="14">
        <v>45993</v>
      </c>
      <c r="C141" s="48" t="s">
        <v>164</v>
      </c>
      <c r="D141" s="3" t="s">
        <v>45</v>
      </c>
      <c r="E141" s="82" t="s">
        <v>21</v>
      </c>
      <c r="F141" s="19"/>
      <c r="G141" s="20">
        <v>-52</v>
      </c>
      <c r="H141" s="20"/>
      <c r="I141" s="20"/>
      <c r="J141" s="4"/>
      <c r="K141" s="2"/>
      <c r="L141" s="2"/>
    </row>
    <row r="142" spans="1:12" ht="15" customHeight="1" x14ac:dyDescent="0.3">
      <c r="A142" s="41"/>
      <c r="B142" s="14">
        <v>45993</v>
      </c>
      <c r="C142" s="48" t="s">
        <v>165</v>
      </c>
      <c r="D142" s="3" t="s">
        <v>45</v>
      </c>
      <c r="E142" s="82" t="s">
        <v>21</v>
      </c>
      <c r="F142" s="19"/>
      <c r="G142" s="20">
        <v>-112</v>
      </c>
      <c r="H142" s="20"/>
      <c r="I142" s="20"/>
      <c r="J142" s="4"/>
      <c r="K142" s="2"/>
      <c r="L142" s="2"/>
    </row>
    <row r="143" spans="1:12" ht="15" customHeight="1" x14ac:dyDescent="0.3">
      <c r="A143" s="41"/>
      <c r="B143" s="14">
        <v>45995</v>
      </c>
      <c r="C143" s="48">
        <v>139</v>
      </c>
      <c r="D143" s="3" t="s">
        <v>155</v>
      </c>
      <c r="E143" s="82" t="s">
        <v>22</v>
      </c>
      <c r="F143" s="19"/>
      <c r="G143" s="20">
        <v>-20</v>
      </c>
      <c r="H143" s="20"/>
      <c r="I143" s="20"/>
      <c r="J143" s="4"/>
      <c r="K143" s="2"/>
      <c r="L143" s="2"/>
    </row>
    <row r="144" spans="1:12" ht="15" customHeight="1" x14ac:dyDescent="0.3">
      <c r="A144" s="41"/>
      <c r="B144" s="14">
        <v>46002</v>
      </c>
      <c r="C144" s="48">
        <v>140</v>
      </c>
      <c r="D144" s="3" t="s">
        <v>161</v>
      </c>
      <c r="E144" s="82" t="s">
        <v>0</v>
      </c>
      <c r="F144" s="19"/>
      <c r="G144" s="20">
        <v>-35.68</v>
      </c>
      <c r="H144" s="20"/>
      <c r="I144" s="20"/>
      <c r="J144" s="4"/>
      <c r="K144" s="2"/>
      <c r="L144" s="2"/>
    </row>
    <row r="145" spans="1:12" ht="15" customHeight="1" x14ac:dyDescent="0.3">
      <c r="A145" s="41"/>
      <c r="B145" s="14">
        <v>46003</v>
      </c>
      <c r="C145" s="48">
        <v>141</v>
      </c>
      <c r="D145" s="3" t="s">
        <v>162</v>
      </c>
      <c r="E145" s="2" t="s">
        <v>18</v>
      </c>
      <c r="F145" s="19"/>
      <c r="G145" s="20">
        <v>-272.87</v>
      </c>
      <c r="H145" s="20"/>
      <c r="I145" s="20"/>
      <c r="J145" s="4"/>
      <c r="K145" s="2"/>
      <c r="L145" s="2"/>
    </row>
    <row r="146" spans="1:12" ht="15" customHeight="1" x14ac:dyDescent="0.3">
      <c r="A146" s="41"/>
      <c r="B146" s="14">
        <v>46003</v>
      </c>
      <c r="C146" s="48">
        <v>141</v>
      </c>
      <c r="D146" s="3" t="s">
        <v>163</v>
      </c>
      <c r="E146" s="82" t="s">
        <v>0</v>
      </c>
      <c r="F146" s="19"/>
      <c r="G146" s="20">
        <v>-74.75</v>
      </c>
      <c r="H146" s="20"/>
      <c r="I146" s="20"/>
      <c r="J146" s="4"/>
      <c r="K146" s="2"/>
      <c r="L146" s="2"/>
    </row>
    <row r="147" spans="1:12" ht="15" customHeight="1" x14ac:dyDescent="0.3">
      <c r="A147" s="41"/>
      <c r="B147" s="14">
        <v>46006</v>
      </c>
      <c r="C147" s="48">
        <v>142</v>
      </c>
      <c r="D147" s="3" t="s">
        <v>156</v>
      </c>
      <c r="E147" s="82" t="s">
        <v>0</v>
      </c>
      <c r="F147" s="19"/>
      <c r="G147" s="20">
        <v>-52.82</v>
      </c>
      <c r="H147" s="20"/>
      <c r="I147" s="20"/>
      <c r="J147" s="4"/>
      <c r="K147" s="2"/>
      <c r="L147" s="2"/>
    </row>
    <row r="148" spans="1:12" ht="15" customHeight="1" x14ac:dyDescent="0.3">
      <c r="A148" s="41"/>
      <c r="B148" s="14">
        <v>46008</v>
      </c>
      <c r="C148" s="48">
        <v>143</v>
      </c>
      <c r="D148" s="3" t="s">
        <v>103</v>
      </c>
      <c r="E148" s="21" t="s">
        <v>12</v>
      </c>
      <c r="F148" s="19"/>
      <c r="G148" s="20">
        <v>-600</v>
      </c>
      <c r="H148" s="20"/>
      <c r="I148" s="20"/>
      <c r="J148" s="4"/>
      <c r="K148" s="2"/>
      <c r="L148" s="2"/>
    </row>
    <row r="149" spans="1:12" ht="15" customHeight="1" x14ac:dyDescent="0.3">
      <c r="A149" s="41"/>
      <c r="B149" s="14">
        <v>46013</v>
      </c>
      <c r="C149" s="48">
        <v>144</v>
      </c>
      <c r="D149" s="37" t="s">
        <v>46</v>
      </c>
      <c r="E149" s="82" t="s">
        <v>0</v>
      </c>
      <c r="F149" s="19"/>
      <c r="G149" s="20">
        <v>-14.59</v>
      </c>
      <c r="H149" s="20"/>
      <c r="I149" s="20"/>
      <c r="J149" s="4"/>
      <c r="K149" s="2"/>
      <c r="L149" s="2"/>
    </row>
    <row r="150" spans="1:12" ht="15" customHeight="1" x14ac:dyDescent="0.3">
      <c r="A150" s="41"/>
      <c r="B150" s="14">
        <v>46011</v>
      </c>
      <c r="C150" s="48">
        <v>145</v>
      </c>
      <c r="D150" s="81" t="s">
        <v>134</v>
      </c>
      <c r="E150" s="82" t="s">
        <v>21</v>
      </c>
      <c r="F150" s="19"/>
      <c r="G150" s="20">
        <v>-4.99</v>
      </c>
      <c r="H150" s="20"/>
      <c r="I150" s="20"/>
      <c r="J150" s="4"/>
      <c r="K150" s="2"/>
    </row>
    <row r="151" spans="1:12" ht="15" customHeight="1" x14ac:dyDescent="0.3">
      <c r="A151" s="41"/>
      <c r="B151" s="14">
        <v>46021</v>
      </c>
      <c r="C151" s="48">
        <v>146</v>
      </c>
      <c r="D151" s="3" t="s">
        <v>166</v>
      </c>
      <c r="E151" s="82" t="s">
        <v>0</v>
      </c>
      <c r="F151" s="19"/>
      <c r="G151" s="20">
        <v>-150</v>
      </c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-1105</v>
      </c>
      <c r="G178" s="32">
        <f>SUM(G3:G177)</f>
        <v>-10074.639999999998</v>
      </c>
      <c r="H178" s="32">
        <f>SUM(H3:H177)</f>
        <v>0</v>
      </c>
      <c r="I178" s="32">
        <f>SUM(I3:I177)</f>
        <v>-169.03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L242" s="2"/>
    </row>
    <row r="243" spans="1:12" ht="15" customHeight="1" x14ac:dyDescent="0.3">
      <c r="B243" s="17"/>
      <c r="C243" s="17"/>
      <c r="I243" s="17"/>
    </row>
    <row r="244" spans="1:12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">
    <cfRule type="cellIs" dxfId="18" priority="481" stopIfTrue="1" operator="lessThan">
      <formula>0</formula>
    </cfRule>
  </conditionalFormatting>
  <conditionalFormatting sqref="B127:B142">
    <cfRule type="cellIs" dxfId="17" priority="464" stopIfTrue="1" operator="lessThan">
      <formula>0</formula>
    </cfRule>
  </conditionalFormatting>
  <conditionalFormatting sqref="B156:B244">
    <cfRule type="cellIs" dxfId="16" priority="21" stopIfTrue="1" operator="lessThan">
      <formula>0</formula>
    </cfRule>
  </conditionalFormatting>
  <conditionalFormatting sqref="C155 C157 C159 C161 C163 C165 C167 C173 C175">
    <cfRule type="cellIs" dxfId="15" priority="22" stopIfTrue="1" operator="lessThan">
      <formula>0</formula>
    </cfRule>
  </conditionalFormatting>
  <conditionalFormatting sqref="C177:C243 J179 I179:I244">
    <cfRule type="cellIs" dxfId="14" priority="711" stopIfTrue="1" operator="lessThan">
      <formula>0</formula>
    </cfRule>
  </conditionalFormatting>
  <conditionalFormatting sqref="D130">
    <cfRule type="cellIs" dxfId="13" priority="479" stopIfTrue="1" operator="lessThan">
      <formula>0</formula>
    </cfRule>
  </conditionalFormatting>
  <conditionalFormatting sqref="D149">
    <cfRule type="cellIs" dxfId="12" priority="66" stopIfTrue="1" operator="lessThan">
      <formula>0</formula>
    </cfRule>
  </conditionalFormatting>
  <conditionalFormatting sqref="D153:D154">
    <cfRule type="cellIs" dxfId="11" priority="450" stopIfTrue="1" operator="lessThan">
      <formula>0</formula>
    </cfRule>
  </conditionalFormatting>
  <conditionalFormatting sqref="D158:D163">
    <cfRule type="cellIs" dxfId="10" priority="7" stopIfTrue="1" operator="lessThan">
      <formula>0</formula>
    </cfRule>
  </conditionalFormatting>
  <conditionalFormatting sqref="D164:E165 D166:D167 C169:D169 D170:E170 C171:D171">
    <cfRule type="cellIs" dxfId="9" priority="14" stopIfTrue="1" operator="lessThan">
      <formula>0</formula>
    </cfRule>
  </conditionalFormatting>
  <conditionalFormatting sqref="D177:E179">
    <cfRule type="cellIs" dxfId="8" priority="16" stopIfTrue="1" operator="lessThan">
      <formula>0</formula>
    </cfRule>
  </conditionalFormatting>
  <conditionalFormatting sqref="D179:H242">
    <cfRule type="cellIs" dxfId="7" priority="663" stopIfTrue="1" operator="lessThan">
      <formula>0</formula>
    </cfRule>
  </conditionalFormatting>
  <conditionalFormatting sqref="E3:E121 E123:E129 E131:E144 E146:E163">
    <cfRule type="cellIs" dxfId="6" priority="2" stopIfTrue="1" operator="lessThan">
      <formula>0</formula>
    </cfRule>
  </conditionalFormatting>
  <conditionalFormatting sqref="E166:E169">
    <cfRule type="cellIs" dxfId="5" priority="4" stopIfTrue="1" operator="lessThan">
      <formula>0</formula>
    </cfRule>
  </conditionalFormatting>
  <conditionalFormatting sqref="E171:E176">
    <cfRule type="cellIs" dxfId="4" priority="3" stopIfTrue="1" operator="lessThan">
      <formula>0</formula>
    </cfRule>
  </conditionalFormatting>
  <conditionalFormatting sqref="F62:F63">
    <cfRule type="cellIs" dxfId="3" priority="372" stopIfTrue="1" operator="lessThan">
      <formula>0</formula>
    </cfRule>
  </conditionalFormatting>
  <conditionalFormatting sqref="F66:F67">
    <cfRule type="cellIs" dxfId="2" priority="1" stopIfTrue="1" operator="lessThan">
      <formula>0</formula>
    </cfRule>
  </conditionalFormatting>
  <conditionalFormatting sqref="F96:F97">
    <cfRule type="cellIs" dxfId="1" priority="124" stopIfTrue="1" operator="lessThan">
      <formula>0</formula>
    </cfRule>
  </conditionalFormatting>
  <conditionalFormatting sqref="F114">
    <cfRule type="cellIs" dxfId="0" priority="8" stopIfTrue="1" operator="lessThan">
      <formula>0</formula>
    </cfRule>
  </conditionalFormatting>
  <dataValidations count="2">
    <dataValidation type="list" allowBlank="1" showInputMessage="1" showErrorMessage="1" sqref="E53:E121 E3:E51 E123:E129 E131:E144 E146:E177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2025-12-31T11:06:25Z</dcterms:modified>
</cp:coreProperties>
</file>