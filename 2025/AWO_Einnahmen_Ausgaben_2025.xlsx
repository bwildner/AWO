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5\"/>
    </mc:Choice>
  </mc:AlternateContent>
  <xr:revisionPtr revIDLastSave="0" documentId="13_ncr:1_{B4113D7A-865A-4C17-A947-269DBEC5DE2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Ausgaben!$B$2:$J$176</definedName>
    <definedName name="_xlnm._FilterDatabase" localSheetId="0" hidden="1">Einnahmen!$A$2:$H$117</definedName>
    <definedName name="_xlnm.Print_Area" localSheetId="1">Ausgaben!$A$1:$I$177</definedName>
    <definedName name="_xlnm.Print_Area" localSheetId="0">Einnahmen!$A$1:$H$125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9" i="5" l="1"/>
  <c r="H17" i="5" l="1"/>
  <c r="H24" i="5"/>
  <c r="H23" i="5"/>
  <c r="H22" i="5"/>
  <c r="H21" i="5"/>
  <c r="H20" i="5"/>
  <c r="H19" i="5"/>
  <c r="H18" i="5"/>
  <c r="H8" i="5"/>
  <c r="H7" i="5"/>
  <c r="H6" i="5"/>
  <c r="H5" i="5"/>
  <c r="H4" i="5"/>
  <c r="G178" i="1" l="1"/>
  <c r="H121" i="4" l="1"/>
  <c r="G121" i="4"/>
  <c r="E121" i="4"/>
  <c r="F121" i="4"/>
  <c r="F178" i="1"/>
  <c r="H178" i="1"/>
  <c r="I178" i="1"/>
  <c r="H123" i="4" l="1"/>
  <c r="F123" i="4"/>
  <c r="E123" i="4"/>
  <c r="G123" i="4"/>
  <c r="D125" i="4" l="1"/>
</calcChain>
</file>

<file path=xl/sharedStrings.xml><?xml version="1.0" encoding="utf-8"?>
<sst xmlns="http://schemas.openxmlformats.org/spreadsheetml/2006/main" count="611" uniqueCount="192">
  <si>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</si>
  <si>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</si>
  <si>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</si>
  <si>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</si>
  <si>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</si>
  <si>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</si>
  <si>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</si>
  <si>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</si>
  <si>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</si>
  <si>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</si>
  <si>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</si>
  <si>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</si>
  <si>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</si>
  <si>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</si>
  <si>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</si>
  <si>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</si>
  <si>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</si>
  <si>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</si>
  <si>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</si>
  <si>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</si>
  <si>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</si>
  <si>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</si>
  <si>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</si>
  <si>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</si>
  <si>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</si>
  <si>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</si>
  <si>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</si>
  <si>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</si>
  <si>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</si>
  <si>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</si>
  <si>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</si>
  <si>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</si>
  <si>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</si>
  <si>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</si>
  <si>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</si>
  <si>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</si>
  <si>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</si>
  <si>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</si>
  <si>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Gesamtergebnis</t>
  </si>
  <si>
    <t>Gesamt Einnahmen</t>
  </si>
  <si>
    <t>Gesamt Ausgaben</t>
  </si>
  <si>
    <t>Summen</t>
  </si>
  <si>
    <t>zusätzlich noch 20000€ Kapitalanlage bei der AWO Böblingen</t>
  </si>
  <si>
    <t>WGV Versicherung</t>
  </si>
  <si>
    <t>Strom</t>
  </si>
  <si>
    <t>tzgl</t>
  </si>
  <si>
    <t>Wasser Abschlag</t>
  </si>
  <si>
    <t>Übertrag aus 2024</t>
  </si>
  <si>
    <t>Miete Farrenstall</t>
  </si>
  <si>
    <t>Günne Senioren</t>
  </si>
  <si>
    <t>GEZ</t>
  </si>
  <si>
    <t>Freenet</t>
  </si>
  <si>
    <t>Kontogebühren KSK</t>
  </si>
  <si>
    <t>Wartung Spülmaschine</t>
  </si>
  <si>
    <t>Spende Ritter</t>
  </si>
  <si>
    <t>Spende W.Baum Team</t>
  </si>
  <si>
    <t>Vereinsring Weihnachtsgabe</t>
  </si>
  <si>
    <t>Vereinsring Mitgliedsbeitrag</t>
  </si>
  <si>
    <t>Verm Häusle</t>
  </si>
  <si>
    <t>Helferessen</t>
  </si>
  <si>
    <t>Vereinsförderung Stadt</t>
  </si>
  <si>
    <t>Abrechnung Wasser/Abwasser</t>
  </si>
  <si>
    <t>Urkunden</t>
  </si>
  <si>
    <t>Kettkar</t>
  </si>
  <si>
    <t>JHV Briefe</t>
  </si>
  <si>
    <t>JHV Kopien</t>
  </si>
  <si>
    <t>Abrechnung WärmeStrom</t>
  </si>
  <si>
    <t>Porto JHV</t>
  </si>
  <si>
    <t>Tzgl</t>
  </si>
  <si>
    <t>SPD Miete 6.3.</t>
  </si>
  <si>
    <t>Strom Nachzahlung</t>
  </si>
  <si>
    <t>Spendenbox JHV</t>
  </si>
  <si>
    <t xml:space="preserve">Blumen Jubiläen </t>
  </si>
  <si>
    <t>JHV Brezeln</t>
  </si>
  <si>
    <t>JHV Hdb Miete</t>
  </si>
  <si>
    <t>Bürgerbus Jahresbeitrag</t>
  </si>
  <si>
    <t>A.Steinbrügger Miete Häusle</t>
  </si>
  <si>
    <t>SPD Getraenke 2.4.</t>
  </si>
  <si>
    <t>awo bund</t>
  </si>
  <si>
    <t>Eichenhof Spende Eier</t>
  </si>
  <si>
    <t>Einnahmen Fr.erwachen</t>
  </si>
  <si>
    <t>Ausgaben Ukrainer Fr.erwachen</t>
  </si>
  <si>
    <t>Bargeldeinzahlung</t>
  </si>
  <si>
    <t>Druckerei Nitsch</t>
  </si>
  <si>
    <t>Getränke Borscht</t>
  </si>
  <si>
    <t>19a</t>
  </si>
  <si>
    <t>SPD Miete 2.4.</t>
  </si>
  <si>
    <t>Spende Radmonteur</t>
  </si>
  <si>
    <t>SPD Getraenke</t>
  </si>
  <si>
    <t>Muttertagsbasteln Getränke</t>
  </si>
  <si>
    <t xml:space="preserve">Vermietung </t>
  </si>
  <si>
    <t>29a</t>
  </si>
  <si>
    <t>Guenne Vermietung</t>
  </si>
  <si>
    <t>Tinte</t>
  </si>
  <si>
    <t>Radservice Catering</t>
  </si>
  <si>
    <t>Spende Cyclestore</t>
  </si>
  <si>
    <t>Spenden Radservice</t>
  </si>
  <si>
    <t>SPD Miete 7.5.</t>
  </si>
  <si>
    <t>Radservice Jakob</t>
  </si>
  <si>
    <t>Trauerkarte G.Kreis</t>
  </si>
  <si>
    <t>Midsommer</t>
  </si>
  <si>
    <t>Midsommer, tzgl</t>
  </si>
  <si>
    <t>Individualhilfe</t>
  </si>
  <si>
    <t>Trauerkarte Kauschke</t>
  </si>
  <si>
    <t>Spende Radservice Medic</t>
  </si>
  <si>
    <t>Awo Bund Rückverteilung</t>
  </si>
  <si>
    <t>Spende Ponde</t>
  </si>
  <si>
    <t>Spende Awo Waldheim Jugend</t>
  </si>
  <si>
    <t>Abschlag Wasser</t>
  </si>
  <si>
    <t>Awo Busreise</t>
  </si>
  <si>
    <t>Spende Grillkäse Stuhrmann</t>
  </si>
  <si>
    <t>Sommerfest</t>
  </si>
  <si>
    <t>Sommerfest Spendenbox</t>
  </si>
  <si>
    <t>Sommerfest Einnahmen</t>
  </si>
  <si>
    <t>Sommerfest Grill</t>
  </si>
  <si>
    <t>Sommerfest Getränke</t>
  </si>
  <si>
    <t>Spende Steibing</t>
  </si>
  <si>
    <t>Klausur Essensgeld</t>
  </si>
  <si>
    <t xml:space="preserve"> Awo Bund Beiträge</t>
  </si>
  <si>
    <t>Klausur weniger Teilnehmer und Spende</t>
  </si>
  <si>
    <t>Klausur Essensgeld Spende Stuhrmann</t>
  </si>
  <si>
    <t>Spende Kinderschminken Sommerfest</t>
  </si>
  <si>
    <t>47a</t>
  </si>
  <si>
    <t xml:space="preserve">Klausur </t>
  </si>
  <si>
    <t xml:space="preserve">Tzgl </t>
  </si>
  <si>
    <t>Rote Sommerfest</t>
  </si>
  <si>
    <t>Sommerfest Glasbrenner</t>
  </si>
  <si>
    <t>Sommerfest Bäcker</t>
  </si>
  <si>
    <t>Klausur Miete</t>
  </si>
  <si>
    <t>Zinsen Awo Fonds</t>
  </si>
  <si>
    <t>Ponde Jubiläum Werbeartikel</t>
  </si>
  <si>
    <t>57a</t>
  </si>
  <si>
    <t>49a</t>
  </si>
  <si>
    <t>Drillisch</t>
  </si>
  <si>
    <t>Awo Zeitung</t>
  </si>
  <si>
    <t>Kinderschminken Ponde</t>
  </si>
  <si>
    <t>SPD Raummiete 17.9.</t>
  </si>
  <si>
    <t>Taschen</t>
  </si>
  <si>
    <t>Freenet Abschlussrechnung</t>
  </si>
  <si>
    <t>Trauerkarte H.Fante</t>
  </si>
  <si>
    <t>Taschen W.feier</t>
  </si>
  <si>
    <t>Abfall</t>
  </si>
  <si>
    <t>26a</t>
  </si>
  <si>
    <t>Spendenartikel Muttertagsbasteln Antonia</t>
  </si>
  <si>
    <t>spd miete</t>
  </si>
  <si>
    <t xml:space="preserve">W.feier Eine Welt </t>
  </si>
  <si>
    <t>Fehlüberweisung</t>
  </si>
  <si>
    <t>Fehlüberweisung Ausgleich</t>
  </si>
  <si>
    <t>Glühwein</t>
  </si>
  <si>
    <t>Umschläge</t>
  </si>
  <si>
    <t>Porto</t>
  </si>
  <si>
    <t>Briefkasten</t>
  </si>
  <si>
    <t>DNT Vermietung</t>
  </si>
  <si>
    <t>SPD Getränke</t>
  </si>
  <si>
    <t>Trauerkarte Jelic</t>
  </si>
  <si>
    <t>W.markt, Glühw, Würstle</t>
  </si>
  <si>
    <t>tzgl 25.11.</t>
  </si>
  <si>
    <t>günne senioren 27.11.</t>
  </si>
  <si>
    <t>W.feier (W.Markt 1145, 795 W.feier)</t>
  </si>
  <si>
    <t>W.markt, Standgeld</t>
  </si>
  <si>
    <t>W.markt, Waffeln, Mus</t>
  </si>
  <si>
    <t>W.päckle Schoki</t>
  </si>
  <si>
    <t>W.markt Wasser, Schnaps, Sekt</t>
  </si>
  <si>
    <t>138a</t>
  </si>
  <si>
    <t>138b</t>
  </si>
  <si>
    <t>W.markt Gulasch Kosten</t>
  </si>
  <si>
    <t>67a</t>
  </si>
  <si>
    <t>Spende Tombola Haka</t>
  </si>
  <si>
    <t>67b</t>
  </si>
  <si>
    <t>Spende Tombola Brunnen Apotheke</t>
  </si>
  <si>
    <t>67c</t>
  </si>
  <si>
    <t>Spende Kuchen Steibing (100€)</t>
  </si>
  <si>
    <t>69a</t>
  </si>
  <si>
    <t>Spende Fr.Fanta (100€)</t>
  </si>
  <si>
    <t>71a</t>
  </si>
  <si>
    <t>Spende Tombola Gutscheine 50€+Orangen+Deko für Päckle</t>
  </si>
  <si>
    <t>Spende W.feier Fr. Fanta (siehe E69a)</t>
  </si>
  <si>
    <t>Spende Müssle</t>
  </si>
  <si>
    <t xml:space="preserve"> </t>
  </si>
  <si>
    <t>Rückverteilung Awo Kreis</t>
  </si>
  <si>
    <t>Awo Soli aus E74</t>
  </si>
  <si>
    <t>Awo Kap.ertr.steuer aus E74</t>
  </si>
  <si>
    <t>Kuchenspende Heisswolf</t>
  </si>
  <si>
    <t>Kuchenspende Hofhansel</t>
  </si>
  <si>
    <t>Kuchenspende Jelic</t>
  </si>
  <si>
    <t>Kuchenspende Natly</t>
  </si>
  <si>
    <t>Kuchenspende Ruck</t>
  </si>
  <si>
    <t>Kuchenspende Seiwert-Stana</t>
  </si>
  <si>
    <t>Spende Backwaren U.Raisch</t>
  </si>
  <si>
    <t>Spende eig. Kosten R.Heißwolf</t>
  </si>
  <si>
    <t>Spende eig. Kosten F.Steibing</t>
  </si>
  <si>
    <t>Spende eigene Kosten A.Seiwert-Stana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</si>
</sst>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5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2" fontId="0" fillId="0" borderId="0" xfId="0" applyNumberFormat="1"/>
    <xf numFmtId="0" fontId="1" fillId="0" borderId="0" xfId="0" applyFont="1"/>
    <xf numFmtId="0" fontId="0" fillId="0" borderId="15" xfId="0" applyNumberFormat="1" applyBorder="1"/>
    <xf numFmtId="2" fontId="0" fillId="5" borderId="16" xfId="0" applyNumberFormat="1" applyFill="1" applyBorder="1"/>
    <xf numFmtId="0" fontId="0" fillId="5" borderId="17" xfId="0" applyFill="1" applyBorder="1"/>
    <xf numFmtId="2" fontId="0" fillId="5" borderId="18" xfId="0" applyNumberFormat="1" applyFill="1" applyBorder="1"/>
    <xf numFmtId="0" fontId="0" fillId="5" borderId="19" xfId="0" applyFill="1" applyBorder="1" applyAlignment="1">
      <alignment horizontal="left"/>
    </xf>
    <xf numFmtId="0" fontId="0" fillId="5" borderId="17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3" xfId="0" applyBorder="1" applyAlignment="1">
      <alignment horizontal="left"/>
    </xf>
    <xf numFmtId="0" fontId="0" fillId="0" borderId="24" xfId="0" pivotButton="1" applyBorder="1"/>
    <xf numFmtId="0" fontId="0" fillId="0" borderId="22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6" xfId="0" applyNumberFormat="1" applyBorder="1"/>
    <xf numFmtId="0" fontId="0" fillId="0" borderId="27" xfId="0" applyNumberFormat="1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2" fontId="1" fillId="5" borderId="20" xfId="0" applyNumberFormat="1" applyFont="1" applyFill="1" applyBorder="1"/>
    <xf numFmtId="0" fontId="1" fillId="5" borderId="21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6047.805451504631" createdVersion="4" refreshedVersion="8" minRefreshableVersion="3" recordCount="118" xr:uid="{00000000-000A-0000-FFFF-FFFF01000000}">
  <cacheSource type="worksheet">
    <worksheetSource ref="D2:H120" sheet="Einnahmen"/>
  </cacheSource>
  <cacheFields count="5">
    <cacheField name="Zweck II" numFmtId="0">
      <sharedItems containsBlank="1" count="11">
        <m/>
        <s v="T. z. g. Laune"/>
        <s v="Spenden"/>
        <s v="Nebenkosten"/>
        <s v="Mitgliedsbeitr. BV"/>
        <s v="Bar- &amp; Kontobew."/>
        <s v="Sonstiges"/>
        <s v="Weihnachtsfeier"/>
        <s v="Zinsen" u="1"/>
        <s v="Beiträge an OV" u="1"/>
        <s v="70erFeier" u="1"/>
      </sharedItems>
    </cacheField>
    <cacheField name="Barkasse" numFmtId="0">
      <sharedItems containsString="0" containsBlank="1" containsNumber="1" containsInteger="1" minValue="0" maxValue="1105"/>
    </cacheField>
    <cacheField name="VOBA_x000a_630041008" numFmtId="0">
      <sharedItems containsString="0" containsBlank="1" containsNumber="1" minValue="0" maxValue="3020.630000000021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Blank="1" containsMixedTypes="1" containsNumber="1" minValue="20" maxValue="19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6047.805451851855" createdVersion="4" refreshedVersion="8" minRefreshableVersion="3" recordCount="171" xr:uid="{00000000-000A-0000-FFFF-FFFF00000000}">
  <cacheSource type="worksheet">
    <worksheetSource ref="E2:I173" sheet="Ausgaben"/>
  </cacheSource>
  <cacheFields count="5">
    <cacheField name="Zweck II" numFmtId="0">
      <sharedItems containsBlank="1" count="13">
        <s v="Nebenkosten"/>
        <s v="T. z. g. Laune"/>
        <s v="Büromaterial"/>
        <s v="Sonstiges"/>
        <s v="Spenden"/>
        <s v="Jubiläen"/>
        <s v="Bar- &amp; Kontobew."/>
        <s v="Weihnachtsfeier"/>
        <m/>
        <s v="Miete" u="1"/>
        <s v="Portoauslagen" u="1"/>
        <s v="Versicherung" u="1"/>
        <s v="70erFeier" u="1"/>
      </sharedItems>
    </cacheField>
    <cacheField name="Barkasse" numFmtId="0">
      <sharedItems containsString="0" containsBlank="1" containsNumber="1" containsInteger="1" minValue="-805" maxValue="-300"/>
    </cacheField>
    <cacheField name="VOBA_x000a_630041008" numFmtId="166">
      <sharedItems containsString="0" containsBlank="1" containsNumber="1" minValue="-600" maxValue="-0.11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7.43" maxValue="-1.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">
  <r>
    <x v="0"/>
    <n v="0"/>
    <n v="3020.630000000021"/>
    <n v="2000.5"/>
    <n v="322.99999999999909"/>
  </r>
  <r>
    <x v="1"/>
    <m/>
    <n v="43"/>
    <m/>
    <m/>
  </r>
  <r>
    <x v="1"/>
    <m/>
    <n v="94"/>
    <m/>
    <m/>
  </r>
  <r>
    <x v="1"/>
    <m/>
    <n v="124"/>
    <m/>
    <m/>
  </r>
  <r>
    <x v="2"/>
    <m/>
    <n v="700"/>
    <m/>
    <m/>
  </r>
  <r>
    <x v="2"/>
    <m/>
    <n v="300"/>
    <m/>
    <m/>
  </r>
  <r>
    <x v="1"/>
    <m/>
    <n v="105"/>
    <m/>
    <m/>
  </r>
  <r>
    <x v="1"/>
    <m/>
    <n v="40"/>
    <m/>
    <m/>
  </r>
  <r>
    <x v="1"/>
    <m/>
    <n v="176.5"/>
    <m/>
    <m/>
  </r>
  <r>
    <x v="2"/>
    <m/>
    <n v="150"/>
    <m/>
    <m/>
  </r>
  <r>
    <x v="2"/>
    <m/>
    <n v="300"/>
    <m/>
    <m/>
  </r>
  <r>
    <x v="3"/>
    <m/>
    <n v="4.8499999999999996"/>
    <m/>
    <m/>
  </r>
  <r>
    <x v="3"/>
    <m/>
    <n v="285.75"/>
    <m/>
    <m/>
  </r>
  <r>
    <x v="1"/>
    <m/>
    <n v="144"/>
    <m/>
    <m/>
  </r>
  <r>
    <x v="1"/>
    <m/>
    <m/>
    <m/>
    <n v="20"/>
  </r>
  <r>
    <x v="2"/>
    <m/>
    <n v="40"/>
    <m/>
    <m/>
  </r>
  <r>
    <x v="1"/>
    <m/>
    <n v="110"/>
    <m/>
    <m/>
  </r>
  <r>
    <x v="1"/>
    <m/>
    <n v="50"/>
    <m/>
    <m/>
  </r>
  <r>
    <x v="1"/>
    <m/>
    <n v="120"/>
    <m/>
    <m/>
  </r>
  <r>
    <x v="1"/>
    <m/>
    <n v="24"/>
    <m/>
    <m/>
  </r>
  <r>
    <x v="1"/>
    <m/>
    <m/>
    <m/>
    <n v="20"/>
  </r>
  <r>
    <x v="4"/>
    <m/>
    <n v="17.84"/>
    <m/>
    <m/>
  </r>
  <r>
    <x v="2"/>
    <m/>
    <n v="0"/>
    <m/>
    <m/>
  </r>
  <r>
    <x v="1"/>
    <n v="1105"/>
    <m/>
    <m/>
    <m/>
  </r>
  <r>
    <x v="5"/>
    <m/>
    <n v="805"/>
    <m/>
    <m/>
  </r>
  <r>
    <x v="1"/>
    <m/>
    <n v="95"/>
    <m/>
    <m/>
  </r>
  <r>
    <x v="1"/>
    <m/>
    <n v="102"/>
    <m/>
    <m/>
  </r>
  <r>
    <x v="1"/>
    <m/>
    <n v="20"/>
    <m/>
    <m/>
  </r>
  <r>
    <x v="2"/>
    <m/>
    <n v="0"/>
    <m/>
    <m/>
  </r>
  <r>
    <x v="1"/>
    <m/>
    <n v="10"/>
    <m/>
    <m/>
  </r>
  <r>
    <x v="1"/>
    <m/>
    <n v="38"/>
    <m/>
    <m/>
  </r>
  <r>
    <x v="1"/>
    <m/>
    <n v="131"/>
    <m/>
    <m/>
  </r>
  <r>
    <x v="1"/>
    <m/>
    <n v="136.52000000000001"/>
    <m/>
    <m/>
  </r>
  <r>
    <x v="2"/>
    <m/>
    <m/>
    <m/>
    <m/>
  </r>
  <r>
    <x v="2"/>
    <m/>
    <m/>
    <m/>
    <m/>
  </r>
  <r>
    <x v="2"/>
    <m/>
    <m/>
    <m/>
    <m/>
  </r>
  <r>
    <x v="2"/>
    <m/>
    <m/>
    <m/>
    <m/>
  </r>
  <r>
    <x v="2"/>
    <m/>
    <m/>
    <m/>
    <m/>
  </r>
  <r>
    <x v="2"/>
    <m/>
    <m/>
    <m/>
    <m/>
  </r>
  <r>
    <x v="2"/>
    <m/>
    <m/>
    <m/>
    <m/>
  </r>
  <r>
    <x v="1"/>
    <m/>
    <n v="85"/>
    <m/>
    <m/>
  </r>
  <r>
    <x v="2"/>
    <m/>
    <m/>
    <m/>
    <m/>
  </r>
  <r>
    <x v="1"/>
    <m/>
    <m/>
    <m/>
    <n v="20"/>
  </r>
  <r>
    <x v="1"/>
    <m/>
    <n v="101"/>
    <m/>
    <m/>
  </r>
  <r>
    <x v="2"/>
    <m/>
    <n v="50"/>
    <m/>
    <m/>
  </r>
  <r>
    <x v="4"/>
    <m/>
    <n v="26.54"/>
    <m/>
    <m/>
  </r>
  <r>
    <x v="1"/>
    <m/>
    <n v="148"/>
    <m/>
    <m/>
  </r>
  <r>
    <x v="6"/>
    <m/>
    <n v="65"/>
    <m/>
    <m/>
  </r>
  <r>
    <x v="6"/>
    <m/>
    <n v="300"/>
    <m/>
    <m/>
  </r>
  <r>
    <x v="1"/>
    <m/>
    <n v="78"/>
    <m/>
    <m/>
  </r>
  <r>
    <x v="2"/>
    <m/>
    <n v="0"/>
    <m/>
    <m/>
  </r>
  <r>
    <x v="2"/>
    <m/>
    <n v="0"/>
    <m/>
    <m/>
  </r>
  <r>
    <x v="2"/>
    <m/>
    <n v="59"/>
    <m/>
    <m/>
  </r>
  <r>
    <x v="1"/>
    <m/>
    <m/>
    <m/>
    <n v="1131"/>
  </r>
  <r>
    <x v="1"/>
    <m/>
    <m/>
    <m/>
    <n v="75"/>
  </r>
  <r>
    <x v="2"/>
    <m/>
    <n v="80"/>
    <m/>
    <m/>
  </r>
  <r>
    <x v="4"/>
    <m/>
    <n v="1339.8"/>
    <m/>
    <m/>
  </r>
  <r>
    <x v="2"/>
    <m/>
    <n v="45"/>
    <m/>
    <m/>
  </r>
  <r>
    <x v="2"/>
    <m/>
    <n v="15"/>
    <m/>
    <m/>
  </r>
  <r>
    <x v="1"/>
    <m/>
    <n v="110"/>
    <m/>
    <m/>
  </r>
  <r>
    <x v="1"/>
    <m/>
    <n v="15"/>
    <m/>
    <m/>
  </r>
  <r>
    <x v="1"/>
    <m/>
    <n v="15"/>
    <m/>
    <m/>
  </r>
  <r>
    <x v="6"/>
    <m/>
    <n v="250"/>
    <m/>
    <m/>
  </r>
  <r>
    <x v="1"/>
    <m/>
    <m/>
    <m/>
    <n v="138"/>
  </r>
  <r>
    <x v="1"/>
    <m/>
    <n v="160"/>
    <m/>
    <m/>
  </r>
  <r>
    <x v="1"/>
    <m/>
    <n v="128"/>
    <m/>
    <m/>
  </r>
  <r>
    <x v="1"/>
    <m/>
    <m/>
    <m/>
    <n v="20"/>
  </r>
  <r>
    <x v="1"/>
    <m/>
    <m/>
    <m/>
    <n v="76"/>
  </r>
  <r>
    <x v="1"/>
    <m/>
    <n v="104"/>
    <m/>
    <m/>
  </r>
  <r>
    <x v="1"/>
    <m/>
    <m/>
    <m/>
    <n v="60"/>
  </r>
  <r>
    <x v="5"/>
    <m/>
    <n v="8"/>
    <m/>
    <m/>
  </r>
  <r>
    <x v="1"/>
    <m/>
    <n v="168"/>
    <m/>
    <m/>
  </r>
  <r>
    <x v="1"/>
    <m/>
    <n v="15"/>
    <m/>
    <m/>
  </r>
  <r>
    <x v="1"/>
    <m/>
    <m/>
    <m/>
    <n v="20"/>
  </r>
  <r>
    <x v="7"/>
    <m/>
    <n v="0"/>
    <m/>
    <m/>
  </r>
  <r>
    <x v="7"/>
    <m/>
    <n v="0"/>
    <m/>
    <m/>
  </r>
  <r>
    <x v="7"/>
    <m/>
    <n v="0"/>
    <m/>
    <m/>
  </r>
  <r>
    <x v="1"/>
    <m/>
    <m/>
    <m/>
    <n v="103"/>
  </r>
  <r>
    <x v="1"/>
    <m/>
    <m/>
    <m/>
    <n v="70"/>
  </r>
  <r>
    <x v="7"/>
    <m/>
    <n v="0"/>
    <m/>
    <m/>
  </r>
  <r>
    <x v="1"/>
    <m/>
    <m/>
    <m/>
    <n v="104"/>
  </r>
  <r>
    <x v="1"/>
    <m/>
    <m/>
    <m/>
    <n v="1940"/>
  </r>
  <r>
    <x v="7"/>
    <m/>
    <n v="0"/>
    <m/>
    <m/>
  </r>
  <r>
    <x v="1"/>
    <m/>
    <n v="100"/>
    <m/>
    <m/>
  </r>
  <r>
    <x v="2"/>
    <m/>
    <m/>
    <m/>
    <n v="100"/>
  </r>
  <r>
    <x v="4"/>
    <m/>
    <n v="8.02"/>
    <m/>
    <s v=" "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  <r>
    <x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">
  <r>
    <x v="0"/>
    <m/>
    <m/>
    <m/>
    <n v="-167.43"/>
  </r>
  <r>
    <x v="0"/>
    <m/>
    <n v="-30.46"/>
    <m/>
    <m/>
  </r>
  <r>
    <x v="0"/>
    <m/>
    <n v="-5"/>
    <m/>
    <m/>
  </r>
  <r>
    <x v="0"/>
    <m/>
    <n v="-44"/>
    <m/>
    <m/>
  </r>
  <r>
    <x v="0"/>
    <m/>
    <n v="-139"/>
    <m/>
    <m/>
  </r>
  <r>
    <x v="0"/>
    <m/>
    <n v="-12"/>
    <m/>
    <m/>
  </r>
  <r>
    <x v="1"/>
    <m/>
    <n v="-31.64"/>
    <m/>
    <m/>
  </r>
  <r>
    <x v="0"/>
    <m/>
    <n v="-18.36"/>
    <m/>
    <m/>
  </r>
  <r>
    <x v="0"/>
    <m/>
    <n v="-12.99"/>
    <m/>
    <m/>
  </r>
  <r>
    <x v="2"/>
    <m/>
    <n v="-82.99"/>
    <m/>
    <m/>
  </r>
  <r>
    <x v="3"/>
    <m/>
    <m/>
    <m/>
    <n v="-1.6"/>
  </r>
  <r>
    <x v="0"/>
    <m/>
    <n v="-274.89"/>
    <m/>
    <m/>
  </r>
  <r>
    <x v="1"/>
    <m/>
    <n v="-6.31"/>
    <m/>
    <m/>
  </r>
  <r>
    <x v="0"/>
    <m/>
    <n v="-44"/>
    <m/>
    <m/>
  </r>
  <r>
    <x v="0"/>
    <m/>
    <n v="-139"/>
    <m/>
    <m/>
  </r>
  <r>
    <x v="4"/>
    <m/>
    <n v="-50"/>
    <m/>
    <m/>
  </r>
  <r>
    <x v="0"/>
    <m/>
    <n v="-12"/>
    <m/>
    <m/>
  </r>
  <r>
    <x v="1"/>
    <m/>
    <n v="-4.9000000000000004"/>
    <m/>
    <m/>
  </r>
  <r>
    <x v="1"/>
    <m/>
    <n v="-46.34"/>
    <m/>
    <m/>
  </r>
  <r>
    <x v="3"/>
    <m/>
    <n v="-20"/>
    <m/>
    <m/>
  </r>
  <r>
    <x v="1"/>
    <m/>
    <n v="-36.94"/>
    <m/>
    <m/>
  </r>
  <r>
    <x v="0"/>
    <m/>
    <n v="-12.99"/>
    <m/>
    <m/>
  </r>
  <r>
    <x v="3"/>
    <m/>
    <n v="-18.079999999999998"/>
    <m/>
    <m/>
  </r>
  <r>
    <x v="3"/>
    <m/>
    <n v="-342"/>
    <m/>
    <m/>
  </r>
  <r>
    <x v="5"/>
    <m/>
    <n v="-88.5"/>
    <m/>
    <m/>
  </r>
  <r>
    <x v="3"/>
    <m/>
    <n v="-317.63"/>
    <m/>
    <m/>
  </r>
  <r>
    <x v="2"/>
    <m/>
    <n v="-42.98"/>
    <m/>
    <m/>
  </r>
  <r>
    <x v="2"/>
    <m/>
    <n v="-80"/>
    <m/>
    <m/>
  </r>
  <r>
    <x v="0"/>
    <m/>
    <n v="-44"/>
    <m/>
    <m/>
  </r>
  <r>
    <x v="2"/>
    <m/>
    <n v="-48.8"/>
    <m/>
    <m/>
  </r>
  <r>
    <x v="1"/>
    <m/>
    <n v="-11.64"/>
    <m/>
    <m/>
  </r>
  <r>
    <x v="1"/>
    <m/>
    <n v="-25.02"/>
    <m/>
    <m/>
  </r>
  <r>
    <x v="0"/>
    <m/>
    <n v="-12"/>
    <m/>
    <m/>
  </r>
  <r>
    <x v="0"/>
    <m/>
    <n v="-72.87"/>
    <m/>
    <m/>
  </r>
  <r>
    <x v="1"/>
    <m/>
    <n v="-18.190000000000001"/>
    <m/>
    <m/>
  </r>
  <r>
    <x v="1"/>
    <m/>
    <n v="-15.65"/>
    <m/>
    <m/>
  </r>
  <r>
    <x v="0"/>
    <m/>
    <n v="-12.99"/>
    <m/>
    <m/>
  </r>
  <r>
    <x v="1"/>
    <m/>
    <n v="-29.72"/>
    <m/>
    <m/>
  </r>
  <r>
    <x v="5"/>
    <m/>
    <n v="-135"/>
    <m/>
    <m/>
  </r>
  <r>
    <x v="3"/>
    <m/>
    <n v="-21.8"/>
    <m/>
    <m/>
  </r>
  <r>
    <x v="3"/>
    <m/>
    <n v="-144.1"/>
    <m/>
    <m/>
  </r>
  <r>
    <x v="3"/>
    <m/>
    <n v="-60"/>
    <m/>
    <m/>
  </r>
  <r>
    <x v="0"/>
    <m/>
    <n v="-30.85"/>
    <m/>
    <m/>
  </r>
  <r>
    <x v="0"/>
    <m/>
    <n v="-12"/>
    <m/>
    <m/>
  </r>
  <r>
    <x v="0"/>
    <m/>
    <n v="-112"/>
    <m/>
    <m/>
  </r>
  <r>
    <x v="0"/>
    <m/>
    <n v="-52"/>
    <m/>
    <m/>
  </r>
  <r>
    <x v="1"/>
    <m/>
    <n v="-28.4"/>
    <m/>
    <m/>
  </r>
  <r>
    <x v="1"/>
    <m/>
    <n v="-16"/>
    <m/>
    <m/>
  </r>
  <r>
    <x v="1"/>
    <n v="-300"/>
    <m/>
    <m/>
    <m/>
  </r>
  <r>
    <x v="6"/>
    <n v="-805"/>
    <m/>
    <m/>
    <m/>
  </r>
  <r>
    <x v="1"/>
    <m/>
    <n v="-18.66"/>
    <m/>
    <m/>
  </r>
  <r>
    <x v="0"/>
    <m/>
    <n v="-18.36"/>
    <m/>
    <m/>
  </r>
  <r>
    <x v="3"/>
    <m/>
    <n v="-238"/>
    <m/>
    <m/>
  </r>
  <r>
    <x v="1"/>
    <m/>
    <n v="-8"/>
    <m/>
    <m/>
  </r>
  <r>
    <x v="0"/>
    <m/>
    <n v="-12.99"/>
    <m/>
    <m/>
  </r>
  <r>
    <x v="1"/>
    <m/>
    <n v="-153.13"/>
    <m/>
    <m/>
  </r>
  <r>
    <x v="0"/>
    <m/>
    <n v="-12"/>
    <m/>
    <m/>
  </r>
  <r>
    <x v="0"/>
    <m/>
    <n v="-112"/>
    <m/>
    <m/>
  </r>
  <r>
    <x v="0"/>
    <m/>
    <n v="-52"/>
    <m/>
    <m/>
  </r>
  <r>
    <x v="1"/>
    <m/>
    <n v="-44.28"/>
    <m/>
    <m/>
  </r>
  <r>
    <x v="1"/>
    <m/>
    <n v="-25.94"/>
    <m/>
    <m/>
  </r>
  <r>
    <x v="0"/>
    <m/>
    <n v="-12.99"/>
    <m/>
    <m/>
  </r>
  <r>
    <x v="2"/>
    <m/>
    <n v="-88.47"/>
    <m/>
    <m/>
  </r>
  <r>
    <x v="1"/>
    <m/>
    <n v="-55.38"/>
    <m/>
    <m/>
  </r>
  <r>
    <x v="1"/>
    <m/>
    <n v="-41.42"/>
    <m/>
    <m/>
  </r>
  <r>
    <x v="1"/>
    <m/>
    <n v="-10"/>
    <m/>
    <m/>
  </r>
  <r>
    <x v="1"/>
    <m/>
    <n v="-5"/>
    <m/>
    <m/>
  </r>
  <r>
    <x v="3"/>
    <m/>
    <n v="-25"/>
    <m/>
    <m/>
  </r>
  <r>
    <x v="0"/>
    <m/>
    <n v="-12"/>
    <m/>
    <m/>
  </r>
  <r>
    <x v="0"/>
    <m/>
    <n v="-52"/>
    <m/>
    <m/>
  </r>
  <r>
    <x v="0"/>
    <m/>
    <n v="-112"/>
    <m/>
    <m/>
  </r>
  <r>
    <x v="1"/>
    <m/>
    <n v="-13.2"/>
    <m/>
    <m/>
  </r>
  <r>
    <x v="3"/>
    <m/>
    <n v="-130.6"/>
    <m/>
    <m/>
  </r>
  <r>
    <x v="4"/>
    <m/>
    <n v="-200"/>
    <m/>
    <m/>
  </r>
  <r>
    <x v="3"/>
    <m/>
    <n v="-25"/>
    <m/>
    <m/>
  </r>
  <r>
    <x v="0"/>
    <m/>
    <n v="-12.99"/>
    <m/>
    <m/>
  </r>
  <r>
    <x v="4"/>
    <m/>
    <n v="-300"/>
    <m/>
    <m/>
  </r>
  <r>
    <x v="4"/>
    <m/>
    <n v="-120"/>
    <m/>
    <m/>
  </r>
  <r>
    <x v="0"/>
    <m/>
    <n v="-30.85"/>
    <m/>
    <m/>
  </r>
  <r>
    <x v="0"/>
    <m/>
    <n v="-112"/>
    <m/>
    <m/>
  </r>
  <r>
    <x v="0"/>
    <m/>
    <n v="-52"/>
    <m/>
    <m/>
  </r>
  <r>
    <x v="0"/>
    <m/>
    <n v="-12"/>
    <m/>
    <m/>
  </r>
  <r>
    <x v="1"/>
    <m/>
    <n v="-52.76"/>
    <m/>
    <m/>
  </r>
  <r>
    <x v="1"/>
    <m/>
    <n v="-70"/>
    <m/>
    <m/>
  </r>
  <r>
    <x v="1"/>
    <m/>
    <n v="-240.51"/>
    <m/>
    <m/>
  </r>
  <r>
    <x v="0"/>
    <m/>
    <n v="-18.36"/>
    <m/>
    <m/>
  </r>
  <r>
    <x v="3"/>
    <m/>
    <n v="-165"/>
    <m/>
    <m/>
  </r>
  <r>
    <x v="0"/>
    <m/>
    <n v="-12.99"/>
    <m/>
    <m/>
  </r>
  <r>
    <x v="3"/>
    <m/>
    <n v="-35.020000000000003"/>
    <m/>
    <m/>
  </r>
  <r>
    <x v="1"/>
    <m/>
    <n v="-324"/>
    <m/>
    <m/>
  </r>
  <r>
    <x v="0"/>
    <m/>
    <n v="-12"/>
    <m/>
    <m/>
  </r>
  <r>
    <x v="0"/>
    <m/>
    <n v="-52"/>
    <m/>
    <m/>
  </r>
  <r>
    <x v="0"/>
    <m/>
    <n v="-112"/>
    <m/>
    <m/>
  </r>
  <r>
    <x v="1"/>
    <m/>
    <n v="-147.69"/>
    <m/>
    <m/>
  </r>
  <r>
    <x v="1"/>
    <m/>
    <n v="-10.37"/>
    <m/>
    <m/>
  </r>
  <r>
    <x v="3"/>
    <m/>
    <n v="-70"/>
    <m/>
    <m/>
  </r>
  <r>
    <x v="0"/>
    <m/>
    <n v="-12.99"/>
    <m/>
    <m/>
  </r>
  <r>
    <x v="1"/>
    <m/>
    <n v="-48.08"/>
    <m/>
    <m/>
  </r>
  <r>
    <x v="0"/>
    <m/>
    <n v="-12"/>
    <m/>
    <m/>
  </r>
  <r>
    <x v="0"/>
    <m/>
    <n v="-52"/>
    <m/>
    <m/>
  </r>
  <r>
    <x v="0"/>
    <m/>
    <n v="-112"/>
    <m/>
    <m/>
  </r>
  <r>
    <x v="3"/>
    <m/>
    <n v="-98.12"/>
    <m/>
    <m/>
  </r>
  <r>
    <x v="0"/>
    <m/>
    <n v="-12.98"/>
    <m/>
    <m/>
  </r>
  <r>
    <x v="0"/>
    <m/>
    <n v="-16.39"/>
    <m/>
    <m/>
  </r>
  <r>
    <x v="1"/>
    <m/>
    <n v="-17.97"/>
    <m/>
    <m/>
  </r>
  <r>
    <x v="3"/>
    <m/>
    <n v="-0.95"/>
    <m/>
    <m/>
  </r>
  <r>
    <x v="0"/>
    <m/>
    <n v="-30.85"/>
    <m/>
    <m/>
  </r>
  <r>
    <x v="0"/>
    <m/>
    <n v="-12"/>
    <m/>
    <m/>
  </r>
  <r>
    <x v="0"/>
    <m/>
    <n v="-52"/>
    <m/>
    <m/>
  </r>
  <r>
    <x v="0"/>
    <m/>
    <n v="-112"/>
    <m/>
    <m/>
  </r>
  <r>
    <x v="3"/>
    <m/>
    <n v="-95"/>
    <m/>
    <m/>
  </r>
  <r>
    <x v="3"/>
    <m/>
    <n v="-120"/>
    <m/>
    <m/>
  </r>
  <r>
    <x v="2"/>
    <m/>
    <n v="-83.98"/>
    <m/>
    <m/>
  </r>
  <r>
    <x v="3"/>
    <m/>
    <n v="-157.79"/>
    <m/>
    <m/>
  </r>
  <r>
    <x v="0"/>
    <m/>
    <n v="-18.36"/>
    <m/>
    <m/>
  </r>
  <r>
    <x v="1"/>
    <m/>
    <n v="-17.940000000000001"/>
    <m/>
    <m/>
  </r>
  <r>
    <x v="0"/>
    <m/>
    <n v="-40.92"/>
    <m/>
    <m/>
  </r>
  <r>
    <x v="5"/>
    <m/>
    <n v="-20"/>
    <m/>
    <m/>
  </r>
  <r>
    <x v="0"/>
    <m/>
    <n v="-0.67"/>
    <m/>
    <m/>
  </r>
  <r>
    <x v="7"/>
    <m/>
    <n v="-104.13"/>
    <m/>
    <m/>
  </r>
  <r>
    <x v="1"/>
    <m/>
    <n v="-6.99"/>
    <m/>
    <m/>
  </r>
  <r>
    <x v="0"/>
    <m/>
    <n v="-12"/>
    <m/>
    <m/>
  </r>
  <r>
    <x v="0"/>
    <m/>
    <n v="-143.16"/>
    <m/>
    <m/>
  </r>
  <r>
    <x v="1"/>
    <m/>
    <n v="-11.99"/>
    <m/>
    <m/>
  </r>
  <r>
    <x v="0"/>
    <m/>
    <n v="-52"/>
    <m/>
    <m/>
  </r>
  <r>
    <x v="0"/>
    <m/>
    <n v="-112"/>
    <m/>
    <m/>
  </r>
  <r>
    <x v="1"/>
    <m/>
    <n v="-96.99"/>
    <m/>
    <m/>
  </r>
  <r>
    <x v="7"/>
    <m/>
    <n v="-440.5"/>
    <m/>
    <m/>
  </r>
  <r>
    <x v="1"/>
    <m/>
    <n v="-40"/>
    <m/>
    <m/>
  </r>
  <r>
    <x v="6"/>
    <m/>
    <n v="-8"/>
    <m/>
    <m/>
  </r>
  <r>
    <x v="1"/>
    <m/>
    <n v="-39.89"/>
    <m/>
    <m/>
  </r>
  <r>
    <x v="2"/>
    <m/>
    <n v="-11.97"/>
    <m/>
    <m/>
  </r>
  <r>
    <x v="2"/>
    <m/>
    <n v="-28.5"/>
    <m/>
    <m/>
  </r>
  <r>
    <x v="1"/>
    <m/>
    <n v="-93.09"/>
    <m/>
    <m/>
  </r>
  <r>
    <x v="2"/>
    <m/>
    <n v="-28.5"/>
    <m/>
    <m/>
  </r>
  <r>
    <x v="0"/>
    <m/>
    <n v="-4.99"/>
    <m/>
    <m/>
  </r>
  <r>
    <x v="1"/>
    <m/>
    <n v="-36.26"/>
    <m/>
    <m/>
  </r>
  <r>
    <x v="0"/>
    <m/>
    <n v="-12"/>
    <m/>
    <m/>
  </r>
  <r>
    <x v="0"/>
    <m/>
    <n v="-52"/>
    <m/>
    <m/>
  </r>
  <r>
    <x v="0"/>
    <m/>
    <n v="-112"/>
    <m/>
    <m/>
  </r>
  <r>
    <x v="5"/>
    <m/>
    <n v="-20"/>
    <m/>
    <m/>
  </r>
  <r>
    <x v="1"/>
    <m/>
    <n v="-35.68"/>
    <m/>
    <m/>
  </r>
  <r>
    <x v="7"/>
    <m/>
    <n v="-272.87"/>
    <m/>
    <m/>
  </r>
  <r>
    <x v="1"/>
    <m/>
    <n v="-74.75"/>
    <m/>
    <m/>
  </r>
  <r>
    <x v="1"/>
    <m/>
    <n v="-52.82"/>
    <m/>
    <m/>
  </r>
  <r>
    <x v="4"/>
    <m/>
    <n v="-600"/>
    <m/>
    <m/>
  </r>
  <r>
    <x v="1"/>
    <m/>
    <n v="-14.59"/>
    <m/>
    <m/>
  </r>
  <r>
    <x v="0"/>
    <m/>
    <n v="-4.99"/>
    <m/>
    <m/>
  </r>
  <r>
    <x v="1"/>
    <m/>
    <n v="-150"/>
    <m/>
    <m/>
  </r>
  <r>
    <x v="3"/>
    <m/>
    <n v="-0.11"/>
    <m/>
    <m/>
  </r>
  <r>
    <x v="3"/>
    <m/>
    <n v="-2.0099999999999998"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  <r>
    <x v="8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F9" firstHeaderRow="0" firstDataRow="1" firstDataCol="1"/>
  <pivotFields count="5">
    <pivotField axis="axisRow" showAll="0">
      <items count="12">
        <item h="1" x="5"/>
        <item m="1" x="9"/>
        <item x="3"/>
        <item x="6"/>
        <item x="2"/>
        <item x="1"/>
        <item h="1" x="7"/>
        <item h="1" x="0"/>
        <item m="1" x="10"/>
        <item m="1" x="8"/>
        <item x="4"/>
        <item t="default"/>
      </items>
    </pivotField>
    <pivotField dataField="1" showAll="0"/>
    <pivotField dataField="1" showAll="0"/>
    <pivotField dataField="1" showAll="0"/>
    <pivotField dataField="1" showAll="0"/>
  </pivotFields>
  <rowFields count="1">
    <field x="0"/>
  </rowFields>
  <rowItems count="6">
    <i>
      <x v="2"/>
    </i>
    <i>
      <x v="3"/>
    </i>
    <i>
      <x v="4"/>
    </i>
    <i>
      <x v="5"/>
    </i>
    <i>
      <x v="1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</dataFields>
  <formats count="3">
    <format dxfId="49">
      <pivotArea field="0" type="button" dataOnly="0" labelOnly="1" outline="0" axis="axisRow" fieldPosition="0"/>
    </format>
    <format dxfId="48">
      <pivotArea dataOnly="0" labelOnly="1" fieldPosition="0">
        <references count="1">
          <reference field="0" count="0"/>
        </references>
      </pivotArea>
    </format>
    <format dxfId="47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F24" firstHeaderRow="0" firstDataRow="1" firstDataCol="1"/>
  <pivotFields count="5">
    <pivotField axis="axisRow" showAll="0">
      <items count="14">
        <item h="1" x="6"/>
        <item x="2"/>
        <item x="5"/>
        <item m="1" x="9"/>
        <item x="0"/>
        <item x="3"/>
        <item x="4"/>
        <item x="1"/>
        <item x="7"/>
        <item m="1" x="12"/>
        <item h="1" x="8"/>
        <item m="1" x="10"/>
        <item m="1" x="11"/>
        <item t="default"/>
      </items>
    </pivotField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</dataFields>
  <formats count="3">
    <format dxfId="52">
      <pivotArea field="0" type="button" dataOnly="0" labelOnly="1" outline="0" axis="axisRow" fieldPosition="0"/>
    </format>
    <format dxfId="51">
      <pivotArea dataOnly="0" labelOnly="1" fieldPosition="0">
        <references count="1">
          <reference field="0" count="0"/>
        </references>
      </pivotArea>
    </format>
    <format dxfId="50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86"/>
  <sheetViews>
    <sheetView showGridLines="0" tabSelected="1" zoomScaleNormal="100" workbookViewId="0">
      <pane ySplit="2" topLeftCell="A87" activePane="bottomLeft" state="frozen"/>
      <selection pane="bottomLeft" activeCell="C110" sqref="C110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1" t="s">
        <v>1</v>
      </c>
      <c r="B1" s="82"/>
      <c r="C1" s="82"/>
      <c r="D1" s="82"/>
      <c r="E1" s="82"/>
      <c r="F1" s="82"/>
      <c r="G1" s="82"/>
      <c r="H1" s="82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47</v>
      </c>
      <c r="D3" s="11"/>
      <c r="E3" s="12">
        <v>0</v>
      </c>
      <c r="F3" s="13">
        <v>3020.630000000021</v>
      </c>
      <c r="G3" s="13">
        <v>2000.5</v>
      </c>
      <c r="H3" s="13">
        <v>322.99999999999909</v>
      </c>
      <c r="I3" s="2"/>
      <c r="J3" s="3" t="s">
        <v>13</v>
      </c>
    </row>
    <row r="4" spans="1:10" s="1" customFormat="1" ht="15" customHeight="1" x14ac:dyDescent="0.3">
      <c r="A4" s="14">
        <v>45666</v>
      </c>
      <c r="B4" s="48">
        <v>1</v>
      </c>
      <c r="C4" s="3" t="s">
        <v>49</v>
      </c>
      <c r="D4" s="18" t="s">
        <v>0</v>
      </c>
      <c r="E4" s="19"/>
      <c r="F4" s="20">
        <v>43</v>
      </c>
      <c r="G4" s="17"/>
      <c r="H4" s="78"/>
      <c r="I4" s="2"/>
      <c r="J4" s="2" t="s">
        <v>18</v>
      </c>
    </row>
    <row r="5" spans="1:10" s="1" customFormat="1" ht="15" customHeight="1" x14ac:dyDescent="0.3">
      <c r="A5" s="14">
        <v>45667</v>
      </c>
      <c r="B5" s="48">
        <v>2</v>
      </c>
      <c r="C5" s="79" t="s">
        <v>45</v>
      </c>
      <c r="D5" s="18" t="s">
        <v>0</v>
      </c>
      <c r="E5" s="19"/>
      <c r="F5" s="20">
        <v>94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45679</v>
      </c>
      <c r="B6" s="48">
        <v>3</v>
      </c>
      <c r="C6" s="79" t="s">
        <v>45</v>
      </c>
      <c r="D6" s="18" t="s">
        <v>0</v>
      </c>
      <c r="E6" s="19"/>
      <c r="F6" s="20">
        <v>124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45688</v>
      </c>
      <c r="B7" s="48">
        <v>4</v>
      </c>
      <c r="C7" s="3" t="s">
        <v>54</v>
      </c>
      <c r="D7" s="18" t="s">
        <v>12</v>
      </c>
      <c r="E7" s="19"/>
      <c r="F7" s="20">
        <v>700</v>
      </c>
      <c r="G7" s="17"/>
      <c r="H7" s="17"/>
      <c r="I7" s="2"/>
      <c r="J7" s="2" t="s">
        <v>20</v>
      </c>
    </row>
    <row r="8" spans="1:10" s="1" customFormat="1" ht="15" customHeight="1" x14ac:dyDescent="0.3">
      <c r="A8" s="14">
        <v>45688</v>
      </c>
      <c r="B8" s="48">
        <v>5</v>
      </c>
      <c r="C8" s="3" t="s">
        <v>55</v>
      </c>
      <c r="D8" s="18" t="s">
        <v>12</v>
      </c>
      <c r="E8" s="19"/>
      <c r="F8" s="20">
        <v>300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45693</v>
      </c>
      <c r="B9" s="48">
        <v>6</v>
      </c>
      <c r="C9" s="79" t="s">
        <v>45</v>
      </c>
      <c r="D9" s="18" t="s">
        <v>0</v>
      </c>
      <c r="E9" s="19"/>
      <c r="F9" s="20">
        <v>105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45705</v>
      </c>
      <c r="B10" s="48">
        <v>7</v>
      </c>
      <c r="C10" s="3" t="s">
        <v>58</v>
      </c>
      <c r="D10" s="18" t="s">
        <v>0</v>
      </c>
      <c r="E10" s="19"/>
      <c r="F10" s="20">
        <v>40</v>
      </c>
      <c r="G10" s="17"/>
      <c r="H10" s="17"/>
      <c r="I10" s="2"/>
      <c r="J10" s="2" t="s">
        <v>23</v>
      </c>
    </row>
    <row r="11" spans="1:10" s="1" customFormat="1" ht="15" customHeight="1" x14ac:dyDescent="0.3">
      <c r="A11" s="14">
        <v>45707</v>
      </c>
      <c r="B11" s="48">
        <v>8</v>
      </c>
      <c r="C11" s="79" t="s">
        <v>45</v>
      </c>
      <c r="D11" s="18" t="s">
        <v>0</v>
      </c>
      <c r="E11" s="19"/>
      <c r="F11" s="20">
        <v>176.5</v>
      </c>
      <c r="G11" s="17"/>
      <c r="H11" s="17"/>
      <c r="I11" s="2"/>
      <c r="J11" s="2" t="s">
        <v>12</v>
      </c>
    </row>
    <row r="12" spans="1:10" s="1" customFormat="1" ht="15" customHeight="1" x14ac:dyDescent="0.3">
      <c r="A12" s="14">
        <v>45712</v>
      </c>
      <c r="B12" s="48">
        <v>9</v>
      </c>
      <c r="C12" s="3" t="s">
        <v>60</v>
      </c>
      <c r="D12" s="18" t="s">
        <v>12</v>
      </c>
      <c r="E12" s="19"/>
      <c r="F12" s="20">
        <v>150</v>
      </c>
      <c r="G12" s="17"/>
      <c r="H12" s="17"/>
      <c r="I12" s="2"/>
      <c r="J12" s="2" t="s">
        <v>24</v>
      </c>
    </row>
    <row r="13" spans="1:10" s="1" customFormat="1" ht="15" customHeight="1" x14ac:dyDescent="0.3">
      <c r="A13" s="14">
        <v>45712</v>
      </c>
      <c r="B13" s="48">
        <v>10</v>
      </c>
      <c r="C13" s="3" t="s">
        <v>60</v>
      </c>
      <c r="D13" s="18" t="s">
        <v>12</v>
      </c>
      <c r="E13" s="19"/>
      <c r="F13" s="20">
        <v>300</v>
      </c>
      <c r="G13" s="17"/>
      <c r="H13" s="17"/>
      <c r="I13" s="2"/>
      <c r="J13" s="2" t="s">
        <v>25</v>
      </c>
    </row>
    <row r="14" spans="1:10" s="1" customFormat="1" ht="15" customHeight="1" x14ac:dyDescent="0.3">
      <c r="A14" s="14">
        <v>45714</v>
      </c>
      <c r="B14" s="48">
        <v>11</v>
      </c>
      <c r="C14" s="3" t="s">
        <v>61</v>
      </c>
      <c r="D14" s="18" t="s">
        <v>21</v>
      </c>
      <c r="E14" s="16"/>
      <c r="F14" s="17">
        <v>4.8499999999999996</v>
      </c>
      <c r="G14" s="17"/>
      <c r="H14" s="17"/>
      <c r="I14" s="2"/>
      <c r="J14" s="2" t="s">
        <v>26</v>
      </c>
    </row>
    <row r="15" spans="1:10" s="1" customFormat="1" ht="15" customHeight="1" x14ac:dyDescent="0.3">
      <c r="A15" s="14">
        <v>45720</v>
      </c>
      <c r="B15" s="48">
        <v>12</v>
      </c>
      <c r="C15" s="3" t="s">
        <v>66</v>
      </c>
      <c r="D15" s="18" t="s">
        <v>21</v>
      </c>
      <c r="E15" s="19"/>
      <c r="F15" s="20">
        <v>285.75</v>
      </c>
      <c r="G15" s="17"/>
      <c r="H15" s="17"/>
      <c r="I15" s="2"/>
      <c r="J15" s="2" t="s">
        <v>27</v>
      </c>
    </row>
    <row r="16" spans="1:10" s="1" customFormat="1" ht="15" customHeight="1" x14ac:dyDescent="0.3">
      <c r="A16" s="14">
        <v>45721</v>
      </c>
      <c r="B16" s="48">
        <v>13</v>
      </c>
      <c r="C16" s="3" t="s">
        <v>45</v>
      </c>
      <c r="D16" s="18" t="s">
        <v>0</v>
      </c>
      <c r="E16" s="19"/>
      <c r="F16" s="20">
        <v>144</v>
      </c>
      <c r="G16" s="17"/>
      <c r="H16" s="17"/>
      <c r="I16" s="2"/>
      <c r="J16" s="2" t="s">
        <v>28</v>
      </c>
    </row>
    <row r="17" spans="1:10" s="1" customFormat="1" ht="15" customHeight="1" x14ac:dyDescent="0.3">
      <c r="A17" s="14">
        <v>45726</v>
      </c>
      <c r="B17" s="48">
        <v>14</v>
      </c>
      <c r="C17" s="3" t="s">
        <v>69</v>
      </c>
      <c r="D17" s="18" t="s">
        <v>0</v>
      </c>
      <c r="E17" s="19"/>
      <c r="F17" s="20"/>
      <c r="G17" s="17"/>
      <c r="H17" s="17">
        <v>20</v>
      </c>
      <c r="I17" s="2"/>
      <c r="J17" s="2" t="s">
        <v>29</v>
      </c>
    </row>
    <row r="18" spans="1:10" s="1" customFormat="1" ht="15" customHeight="1" x14ac:dyDescent="0.3">
      <c r="A18" s="14">
        <v>45740</v>
      </c>
      <c r="B18" s="48">
        <v>15</v>
      </c>
      <c r="C18" s="3" t="s">
        <v>71</v>
      </c>
      <c r="D18" s="18" t="s">
        <v>12</v>
      </c>
      <c r="E18" s="19"/>
      <c r="F18" s="20">
        <v>40</v>
      </c>
      <c r="G18" s="17"/>
      <c r="H18" s="17"/>
      <c r="I18" s="2"/>
      <c r="J18" s="2" t="s">
        <v>32</v>
      </c>
    </row>
    <row r="19" spans="1:10" s="1" customFormat="1" ht="15" customHeight="1" x14ac:dyDescent="0.3">
      <c r="A19" s="14">
        <v>45747</v>
      </c>
      <c r="B19" s="48">
        <v>16</v>
      </c>
      <c r="C19" s="3" t="s">
        <v>45</v>
      </c>
      <c r="D19" s="18" t="s">
        <v>0</v>
      </c>
      <c r="E19" s="19"/>
      <c r="F19" s="20">
        <v>110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45747</v>
      </c>
      <c r="B20" s="48">
        <v>17</v>
      </c>
      <c r="C20" s="3" t="s">
        <v>76</v>
      </c>
      <c r="D20" s="18" t="s">
        <v>0</v>
      </c>
      <c r="E20" s="19"/>
      <c r="F20" s="20">
        <v>50</v>
      </c>
      <c r="G20" s="17"/>
      <c r="H20" s="17"/>
      <c r="I20" s="2"/>
      <c r="J20" s="2"/>
    </row>
    <row r="21" spans="1:10" s="1" customFormat="1" ht="15" customHeight="1" x14ac:dyDescent="0.3">
      <c r="A21" s="14">
        <v>45749</v>
      </c>
      <c r="B21" s="48">
        <v>18</v>
      </c>
      <c r="C21" s="3" t="s">
        <v>45</v>
      </c>
      <c r="D21" s="18" t="s">
        <v>0</v>
      </c>
      <c r="E21" s="19"/>
      <c r="F21" s="20">
        <v>120</v>
      </c>
      <c r="G21" s="17"/>
      <c r="H21" s="17"/>
      <c r="I21" s="2"/>
      <c r="J21" s="2"/>
    </row>
    <row r="22" spans="1:10" s="1" customFormat="1" ht="15" customHeight="1" x14ac:dyDescent="0.3">
      <c r="A22" s="14">
        <v>45750</v>
      </c>
      <c r="B22" s="48">
        <v>19</v>
      </c>
      <c r="C22" s="3" t="s">
        <v>77</v>
      </c>
      <c r="D22" s="18" t="s">
        <v>0</v>
      </c>
      <c r="E22" s="19"/>
      <c r="F22" s="20">
        <v>24</v>
      </c>
      <c r="G22" s="17"/>
      <c r="H22" s="17"/>
      <c r="I22" s="2"/>
      <c r="J22" s="2"/>
    </row>
    <row r="23" spans="1:10" s="1" customFormat="1" ht="15" customHeight="1" x14ac:dyDescent="0.3">
      <c r="A23" s="14">
        <v>45755</v>
      </c>
      <c r="B23" s="48" t="s">
        <v>85</v>
      </c>
      <c r="C23" s="3" t="s">
        <v>86</v>
      </c>
      <c r="D23" s="18" t="s">
        <v>0</v>
      </c>
      <c r="E23" s="19"/>
      <c r="F23" s="20"/>
      <c r="G23" s="17"/>
      <c r="H23" s="17">
        <v>20</v>
      </c>
      <c r="I23" s="2"/>
      <c r="J23" s="2"/>
    </row>
    <row r="24" spans="1:10" s="1" customFormat="1" ht="15" customHeight="1" x14ac:dyDescent="0.3">
      <c r="A24" s="14">
        <v>45757</v>
      </c>
      <c r="B24" s="48">
        <v>20</v>
      </c>
      <c r="C24" s="3" t="s">
        <v>78</v>
      </c>
      <c r="D24" s="18" t="s">
        <v>25</v>
      </c>
      <c r="E24" s="16"/>
      <c r="F24" s="20">
        <v>17.84</v>
      </c>
      <c r="G24" s="17"/>
      <c r="H24" s="17"/>
      <c r="I24" s="2"/>
      <c r="J24" s="2"/>
    </row>
    <row r="25" spans="1:10" s="1" customFormat="1" ht="15" customHeight="1" x14ac:dyDescent="0.3">
      <c r="A25" s="14">
        <v>45761</v>
      </c>
      <c r="B25" s="48">
        <v>21</v>
      </c>
      <c r="C25" s="3" t="s">
        <v>79</v>
      </c>
      <c r="D25" s="18" t="s">
        <v>12</v>
      </c>
      <c r="E25" s="19"/>
      <c r="F25" s="17">
        <v>0</v>
      </c>
      <c r="G25" s="17"/>
      <c r="H25" s="17"/>
      <c r="I25" s="2"/>
      <c r="J25" s="2"/>
    </row>
    <row r="26" spans="1:10" s="1" customFormat="1" ht="15" customHeight="1" x14ac:dyDescent="0.3">
      <c r="A26" s="14">
        <v>45760</v>
      </c>
      <c r="B26" s="48">
        <v>22</v>
      </c>
      <c r="C26" s="3" t="s">
        <v>80</v>
      </c>
      <c r="D26" s="18" t="s">
        <v>0</v>
      </c>
      <c r="E26" s="20">
        <v>1105</v>
      </c>
      <c r="F26" s="20"/>
      <c r="G26" s="17"/>
      <c r="H26" s="17"/>
      <c r="I26" s="2"/>
      <c r="J26" s="2"/>
    </row>
    <row r="27" spans="1:10" s="1" customFormat="1" ht="15" customHeight="1" x14ac:dyDescent="0.3">
      <c r="A27" s="14">
        <v>45761</v>
      </c>
      <c r="B27" s="48">
        <v>23</v>
      </c>
      <c r="C27" s="37" t="s">
        <v>82</v>
      </c>
      <c r="D27" s="18" t="s">
        <v>27</v>
      </c>
      <c r="E27" s="19"/>
      <c r="F27" s="20">
        <v>805</v>
      </c>
      <c r="G27" s="17"/>
      <c r="H27" s="17"/>
      <c r="I27" s="2"/>
      <c r="J27" s="2"/>
    </row>
    <row r="28" spans="1:10" s="1" customFormat="1" ht="15" customHeight="1" x14ac:dyDescent="0.3">
      <c r="A28" s="14">
        <v>45764</v>
      </c>
      <c r="B28" s="15">
        <v>24</v>
      </c>
      <c r="C28" s="3" t="s">
        <v>45</v>
      </c>
      <c r="D28" s="18" t="s">
        <v>0</v>
      </c>
      <c r="E28" s="19"/>
      <c r="F28" s="20">
        <v>95</v>
      </c>
      <c r="G28" s="17"/>
      <c r="H28" s="17"/>
      <c r="I28" s="2"/>
      <c r="J28" s="2"/>
    </row>
    <row r="29" spans="1:10" s="1" customFormat="1" ht="15" customHeight="1" x14ac:dyDescent="0.3">
      <c r="A29" s="14">
        <v>45779</v>
      </c>
      <c r="B29" s="15">
        <v>25</v>
      </c>
      <c r="C29" s="3" t="s">
        <v>45</v>
      </c>
      <c r="D29" s="18" t="s">
        <v>0</v>
      </c>
      <c r="E29" s="19"/>
      <c r="F29" s="20">
        <v>102</v>
      </c>
      <c r="G29" s="17"/>
      <c r="H29" s="17"/>
      <c r="I29" s="2"/>
      <c r="J29" s="2"/>
    </row>
    <row r="30" spans="1:10" s="1" customFormat="1" ht="15" customHeight="1" x14ac:dyDescent="0.3">
      <c r="A30" s="14">
        <v>45786</v>
      </c>
      <c r="B30" s="15">
        <v>26</v>
      </c>
      <c r="C30" s="3" t="s">
        <v>88</v>
      </c>
      <c r="D30" s="18" t="s">
        <v>0</v>
      </c>
      <c r="E30" s="19"/>
      <c r="F30" s="20">
        <v>20</v>
      </c>
      <c r="G30" s="17"/>
      <c r="H30" s="17"/>
      <c r="I30" s="2"/>
      <c r="J30" s="2"/>
    </row>
    <row r="31" spans="1:10" s="1" customFormat="1" ht="15" customHeight="1" x14ac:dyDescent="0.3">
      <c r="A31" s="14">
        <v>45787</v>
      </c>
      <c r="B31" s="15" t="s">
        <v>142</v>
      </c>
      <c r="C31" s="3" t="s">
        <v>143</v>
      </c>
      <c r="D31" s="18" t="s">
        <v>12</v>
      </c>
      <c r="E31" s="19"/>
      <c r="F31" s="20">
        <v>0</v>
      </c>
      <c r="G31" s="17"/>
      <c r="H31" s="17"/>
      <c r="I31" s="2"/>
      <c r="J31" s="2"/>
    </row>
    <row r="32" spans="1:10" s="1" customFormat="1" ht="15" customHeight="1" x14ac:dyDescent="0.3">
      <c r="A32" s="14">
        <v>45789</v>
      </c>
      <c r="B32" s="15">
        <v>27</v>
      </c>
      <c r="C32" s="3" t="s">
        <v>89</v>
      </c>
      <c r="D32" s="18" t="s">
        <v>0</v>
      </c>
      <c r="E32" s="19"/>
      <c r="F32" s="20">
        <v>10</v>
      </c>
      <c r="G32" s="17"/>
      <c r="H32" s="17"/>
      <c r="I32" s="2"/>
      <c r="J32" s="2"/>
    </row>
    <row r="33" spans="1:10" s="1" customFormat="1" ht="15" customHeight="1" x14ac:dyDescent="0.3">
      <c r="A33" s="14">
        <v>45790</v>
      </c>
      <c r="B33" s="15">
        <v>28</v>
      </c>
      <c r="C33" s="3" t="s">
        <v>90</v>
      </c>
      <c r="D33" s="18" t="s">
        <v>0</v>
      </c>
      <c r="E33" s="19"/>
      <c r="F33" s="20">
        <v>38</v>
      </c>
      <c r="G33" s="17"/>
      <c r="H33" s="17"/>
      <c r="I33" s="2"/>
      <c r="J33" s="2"/>
    </row>
    <row r="34" spans="1:10" s="1" customFormat="1" ht="15" customHeight="1" x14ac:dyDescent="0.3">
      <c r="A34" s="14">
        <v>45791</v>
      </c>
      <c r="B34" s="15">
        <v>29</v>
      </c>
      <c r="C34" s="15" t="s">
        <v>45</v>
      </c>
      <c r="D34" s="18" t="s">
        <v>0</v>
      </c>
      <c r="E34" s="19"/>
      <c r="F34" s="20">
        <v>131</v>
      </c>
      <c r="G34" s="17"/>
      <c r="H34" s="17"/>
      <c r="I34" s="2"/>
      <c r="J34" s="2"/>
    </row>
    <row r="35" spans="1:10" s="1" customFormat="1" ht="15" customHeight="1" x14ac:dyDescent="0.3">
      <c r="A35" s="14">
        <v>45793</v>
      </c>
      <c r="B35" s="15" t="s">
        <v>91</v>
      </c>
      <c r="C35" s="15" t="s">
        <v>92</v>
      </c>
      <c r="D35" s="18" t="s">
        <v>0</v>
      </c>
      <c r="E35" s="16"/>
      <c r="F35" s="17">
        <v>136.52000000000001</v>
      </c>
      <c r="G35" s="17"/>
      <c r="H35" s="17"/>
      <c r="I35" s="2"/>
      <c r="J35" s="2"/>
    </row>
    <row r="36" spans="1:10" s="1" customFormat="1" ht="15" customHeight="1" x14ac:dyDescent="0.3">
      <c r="A36" s="14">
        <v>45801</v>
      </c>
      <c r="B36" s="15">
        <v>30</v>
      </c>
      <c r="C36" s="15" t="s">
        <v>87</v>
      </c>
      <c r="D36" s="18" t="s">
        <v>12</v>
      </c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>
        <v>45801</v>
      </c>
      <c r="B37" s="15">
        <v>31</v>
      </c>
      <c r="C37" s="15" t="s">
        <v>87</v>
      </c>
      <c r="D37" s="18" t="s">
        <v>12</v>
      </c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>
        <v>45801</v>
      </c>
      <c r="B38" s="15">
        <v>32</v>
      </c>
      <c r="C38" s="15" t="s">
        <v>87</v>
      </c>
      <c r="D38" s="18" t="s">
        <v>12</v>
      </c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>
        <v>45801</v>
      </c>
      <c r="B39" s="15">
        <v>33</v>
      </c>
      <c r="C39" s="15" t="s">
        <v>87</v>
      </c>
      <c r="D39" s="18" t="s">
        <v>12</v>
      </c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>
        <v>45801</v>
      </c>
      <c r="B40" s="15">
        <v>34</v>
      </c>
      <c r="C40" s="15" t="s">
        <v>87</v>
      </c>
      <c r="D40" s="18" t="s">
        <v>12</v>
      </c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>
        <v>45801</v>
      </c>
      <c r="B41" s="48">
        <v>35</v>
      </c>
      <c r="C41" s="15" t="s">
        <v>87</v>
      </c>
      <c r="D41" s="18" t="s">
        <v>12</v>
      </c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>
        <v>45801</v>
      </c>
      <c r="B42" s="15">
        <v>36</v>
      </c>
      <c r="C42" s="37" t="s">
        <v>95</v>
      </c>
      <c r="D42" s="18" t="s">
        <v>12</v>
      </c>
      <c r="E42" s="16"/>
      <c r="F42" s="17"/>
      <c r="G42" s="17"/>
      <c r="H42" s="17"/>
      <c r="I42" s="2"/>
      <c r="J42" s="2"/>
    </row>
    <row r="43" spans="1:10" s="1" customFormat="1" ht="15" customHeight="1" x14ac:dyDescent="0.3">
      <c r="A43" s="14">
        <v>45803</v>
      </c>
      <c r="B43" s="15">
        <v>37</v>
      </c>
      <c r="C43" s="37" t="s">
        <v>96</v>
      </c>
      <c r="D43" s="18" t="s">
        <v>0</v>
      </c>
      <c r="E43" s="16"/>
      <c r="F43" s="17">
        <v>85</v>
      </c>
      <c r="G43" s="17"/>
      <c r="H43" s="17"/>
      <c r="I43" s="2"/>
      <c r="J43" s="2"/>
    </row>
    <row r="44" spans="1:10" s="1" customFormat="1" ht="15" customHeight="1" x14ac:dyDescent="0.3">
      <c r="A44" s="14">
        <v>45801</v>
      </c>
      <c r="B44" s="15">
        <v>38</v>
      </c>
      <c r="C44" s="15" t="s">
        <v>87</v>
      </c>
      <c r="D44" s="18" t="s">
        <v>12</v>
      </c>
      <c r="E44" s="16"/>
      <c r="F44" s="17"/>
      <c r="G44" s="17"/>
      <c r="H44" s="17"/>
      <c r="I44" s="2"/>
      <c r="J44" s="2"/>
    </row>
    <row r="45" spans="1:10" s="1" customFormat="1" ht="15" customHeight="1" x14ac:dyDescent="0.3">
      <c r="A45" s="14">
        <v>45804</v>
      </c>
      <c r="B45" s="48">
        <v>39</v>
      </c>
      <c r="C45" s="37" t="s">
        <v>97</v>
      </c>
      <c r="D45" s="18" t="s">
        <v>0</v>
      </c>
      <c r="E45" s="19"/>
      <c r="F45" s="20"/>
      <c r="G45" s="17"/>
      <c r="H45" s="17">
        <v>20</v>
      </c>
      <c r="I45" s="2"/>
      <c r="J45" s="2"/>
    </row>
    <row r="46" spans="1:10" s="1" customFormat="1" ht="15" customHeight="1" x14ac:dyDescent="0.3">
      <c r="A46" s="14">
        <v>45810</v>
      </c>
      <c r="B46" s="15">
        <v>40</v>
      </c>
      <c r="C46" s="3" t="s">
        <v>45</v>
      </c>
      <c r="D46" s="18" t="s">
        <v>0</v>
      </c>
      <c r="E46" s="19"/>
      <c r="F46" s="20">
        <v>101</v>
      </c>
      <c r="G46" s="17"/>
      <c r="H46" s="17"/>
      <c r="I46" s="2"/>
      <c r="J46" s="2"/>
    </row>
    <row r="47" spans="1:10" s="1" customFormat="1" ht="15" customHeight="1" x14ac:dyDescent="0.3">
      <c r="A47" s="14">
        <v>45831</v>
      </c>
      <c r="B47" s="15">
        <v>41</v>
      </c>
      <c r="C47" s="3" t="s">
        <v>104</v>
      </c>
      <c r="D47" s="18" t="s">
        <v>12</v>
      </c>
      <c r="E47" s="19"/>
      <c r="F47" s="20">
        <v>50</v>
      </c>
      <c r="G47" s="17"/>
      <c r="H47" s="17"/>
      <c r="I47" s="2"/>
      <c r="J47" s="2"/>
    </row>
    <row r="48" spans="1:10" s="1" customFormat="1" ht="15" customHeight="1" x14ac:dyDescent="0.3">
      <c r="A48" s="14">
        <v>45833</v>
      </c>
      <c r="B48" s="15">
        <v>42</v>
      </c>
      <c r="C48" s="3" t="s">
        <v>105</v>
      </c>
      <c r="D48" s="18" t="s">
        <v>25</v>
      </c>
      <c r="E48" s="16"/>
      <c r="F48" s="17">
        <v>26.54</v>
      </c>
      <c r="G48" s="17"/>
      <c r="H48" s="17"/>
      <c r="I48" s="2"/>
      <c r="J48" s="2"/>
    </row>
    <row r="49" spans="1:10" s="1" customFormat="1" ht="15" customHeight="1" x14ac:dyDescent="0.3">
      <c r="A49" s="14">
        <v>45838</v>
      </c>
      <c r="B49" s="15">
        <v>43</v>
      </c>
      <c r="C49" s="3" t="s">
        <v>45</v>
      </c>
      <c r="D49" s="18" t="s">
        <v>0</v>
      </c>
      <c r="E49" s="19"/>
      <c r="F49" s="20">
        <v>148</v>
      </c>
      <c r="G49" s="17"/>
      <c r="H49" s="17"/>
      <c r="I49" s="2"/>
      <c r="J49" s="2"/>
    </row>
    <row r="50" spans="1:10" s="1" customFormat="1" ht="15" customHeight="1" x14ac:dyDescent="0.3">
      <c r="A50" s="14">
        <v>45838</v>
      </c>
      <c r="B50" s="15">
        <v>44</v>
      </c>
      <c r="C50" s="3" t="s">
        <v>100</v>
      </c>
      <c r="D50" s="18" t="s">
        <v>13</v>
      </c>
      <c r="E50" s="16"/>
      <c r="F50" s="17">
        <v>65</v>
      </c>
      <c r="G50" s="17"/>
      <c r="H50" s="17"/>
      <c r="I50" s="2"/>
      <c r="J50" s="2"/>
    </row>
    <row r="51" spans="1:10" s="1" customFormat="1" ht="15" customHeight="1" x14ac:dyDescent="0.3">
      <c r="A51" s="14">
        <v>45838</v>
      </c>
      <c r="B51" s="15">
        <v>45</v>
      </c>
      <c r="C51" s="3" t="s">
        <v>109</v>
      </c>
      <c r="D51" s="18" t="s">
        <v>13</v>
      </c>
      <c r="E51" s="16"/>
      <c r="F51" s="17">
        <v>300</v>
      </c>
      <c r="G51" s="17"/>
      <c r="H51" s="17"/>
      <c r="I51" s="2"/>
      <c r="J51" s="2"/>
    </row>
    <row r="52" spans="1:10" s="1" customFormat="1" ht="15" customHeight="1" x14ac:dyDescent="0.3">
      <c r="A52" s="14">
        <v>45838</v>
      </c>
      <c r="B52" s="15">
        <v>46</v>
      </c>
      <c r="C52" s="3" t="s">
        <v>45</v>
      </c>
      <c r="D52" s="18" t="s">
        <v>0</v>
      </c>
      <c r="E52" s="19"/>
      <c r="F52" s="20">
        <v>78</v>
      </c>
      <c r="G52" s="17"/>
      <c r="H52" s="17"/>
      <c r="I52" s="2"/>
      <c r="J52" s="2"/>
    </row>
    <row r="53" spans="1:10" s="1" customFormat="1" ht="15" customHeight="1" x14ac:dyDescent="0.3">
      <c r="A53" s="14">
        <v>45840</v>
      </c>
      <c r="B53" s="15">
        <v>47</v>
      </c>
      <c r="C53" s="3" t="s">
        <v>110</v>
      </c>
      <c r="D53" s="18" t="s">
        <v>12</v>
      </c>
      <c r="E53" s="16"/>
      <c r="F53" s="17">
        <v>0</v>
      </c>
      <c r="G53" s="17"/>
      <c r="H53" s="17"/>
      <c r="I53" s="2"/>
      <c r="J53" s="2"/>
    </row>
    <row r="54" spans="1:10" s="1" customFormat="1" ht="15" customHeight="1" x14ac:dyDescent="0.3">
      <c r="A54" s="14">
        <v>45844</v>
      </c>
      <c r="B54" s="15" t="s">
        <v>122</v>
      </c>
      <c r="C54" s="3" t="s">
        <v>121</v>
      </c>
      <c r="D54" s="18" t="s">
        <v>12</v>
      </c>
      <c r="E54" s="16"/>
      <c r="F54" s="17">
        <v>0</v>
      </c>
      <c r="G54" s="17"/>
      <c r="H54" s="17"/>
      <c r="I54" s="2"/>
      <c r="J54" s="2"/>
    </row>
    <row r="55" spans="1:10" s="1" customFormat="1" ht="15" customHeight="1" x14ac:dyDescent="0.3">
      <c r="A55" s="14">
        <v>45845</v>
      </c>
      <c r="B55" s="15">
        <v>48</v>
      </c>
      <c r="C55" s="3" t="s">
        <v>112</v>
      </c>
      <c r="D55" s="18" t="s">
        <v>12</v>
      </c>
      <c r="E55" s="19"/>
      <c r="F55" s="17">
        <v>59</v>
      </c>
      <c r="G55" s="17"/>
      <c r="H55" s="17"/>
      <c r="I55" s="2"/>
      <c r="J55" s="2"/>
    </row>
    <row r="56" spans="1:10" s="1" customFormat="1" ht="15" customHeight="1" x14ac:dyDescent="0.3">
      <c r="A56" s="14">
        <v>45845</v>
      </c>
      <c r="B56" s="15">
        <v>49</v>
      </c>
      <c r="C56" s="3" t="s">
        <v>113</v>
      </c>
      <c r="D56" s="18" t="s">
        <v>0</v>
      </c>
      <c r="E56" s="19"/>
      <c r="F56" s="20"/>
      <c r="G56" s="17"/>
      <c r="H56" s="17">
        <v>1131</v>
      </c>
      <c r="I56" s="2"/>
      <c r="J56" s="2"/>
    </row>
    <row r="57" spans="1:10" s="1" customFormat="1" ht="15" customHeight="1" x14ac:dyDescent="0.3">
      <c r="A57" s="14">
        <v>45848</v>
      </c>
      <c r="B57" s="15" t="s">
        <v>132</v>
      </c>
      <c r="C57" s="3" t="s">
        <v>124</v>
      </c>
      <c r="D57" s="18" t="s">
        <v>0</v>
      </c>
      <c r="E57" s="16"/>
      <c r="F57" s="17"/>
      <c r="G57" s="17"/>
      <c r="H57" s="17">
        <v>75</v>
      </c>
      <c r="I57" s="2"/>
      <c r="J57" s="2"/>
    </row>
    <row r="58" spans="1:10" s="1" customFormat="1" ht="15" customHeight="1" x14ac:dyDescent="0.3">
      <c r="A58" s="14">
        <v>45853</v>
      </c>
      <c r="B58" s="15">
        <v>50</v>
      </c>
      <c r="C58" s="3" t="s">
        <v>116</v>
      </c>
      <c r="D58" s="18" t="s">
        <v>12</v>
      </c>
      <c r="E58" s="16"/>
      <c r="F58" s="17">
        <v>80</v>
      </c>
      <c r="G58" s="17"/>
      <c r="H58" s="17"/>
      <c r="I58" s="2"/>
      <c r="J58" s="2"/>
    </row>
    <row r="59" spans="1:10" s="1" customFormat="1" ht="15" customHeight="1" x14ac:dyDescent="0.3">
      <c r="A59" s="14">
        <v>45861</v>
      </c>
      <c r="B59" s="15">
        <v>51</v>
      </c>
      <c r="C59" s="3" t="s">
        <v>118</v>
      </c>
      <c r="D59" s="18" t="s">
        <v>25</v>
      </c>
      <c r="E59" s="16"/>
      <c r="F59" s="17">
        <v>1339.8</v>
      </c>
      <c r="G59" s="17"/>
      <c r="H59" s="17"/>
      <c r="I59" s="2"/>
      <c r="J59" s="2"/>
    </row>
    <row r="60" spans="1:10" s="1" customFormat="1" ht="15" customHeight="1" x14ac:dyDescent="0.3">
      <c r="A60" s="14">
        <v>45866</v>
      </c>
      <c r="B60" s="15">
        <v>52</v>
      </c>
      <c r="C60" s="3" t="s">
        <v>119</v>
      </c>
      <c r="D60" s="18" t="s">
        <v>12</v>
      </c>
      <c r="E60" s="16"/>
      <c r="F60" s="17">
        <v>45</v>
      </c>
      <c r="G60" s="17"/>
      <c r="H60" s="17"/>
      <c r="I60" s="2"/>
      <c r="J60" s="2"/>
    </row>
    <row r="61" spans="1:10" s="1" customFormat="1" ht="15" customHeight="1" x14ac:dyDescent="0.3">
      <c r="A61" s="14">
        <v>45866</v>
      </c>
      <c r="B61" s="15">
        <v>53</v>
      </c>
      <c r="C61" s="3" t="s">
        <v>120</v>
      </c>
      <c r="D61" s="18" t="s">
        <v>12</v>
      </c>
      <c r="E61" s="16"/>
      <c r="F61" s="17">
        <v>15</v>
      </c>
      <c r="G61" s="17"/>
      <c r="H61" s="17"/>
      <c r="I61" s="2"/>
      <c r="J61" s="2"/>
    </row>
    <row r="62" spans="1:10" s="1" customFormat="1" ht="15" customHeight="1" x14ac:dyDescent="0.3">
      <c r="A62" s="14">
        <v>45868</v>
      </c>
      <c r="B62" s="15">
        <v>54</v>
      </c>
      <c r="C62" s="3" t="s">
        <v>124</v>
      </c>
      <c r="D62" s="18" t="s">
        <v>0</v>
      </c>
      <c r="E62" s="16"/>
      <c r="F62" s="17">
        <v>110</v>
      </c>
      <c r="G62" s="17"/>
      <c r="H62" s="17"/>
      <c r="I62" s="2"/>
      <c r="J62" s="2"/>
    </row>
    <row r="63" spans="1:10" s="1" customFormat="1" ht="15" customHeight="1" x14ac:dyDescent="0.3">
      <c r="A63" s="14">
        <v>45869</v>
      </c>
      <c r="B63" s="15">
        <v>55</v>
      </c>
      <c r="C63" s="3" t="s">
        <v>125</v>
      </c>
      <c r="D63" s="18" t="s">
        <v>0</v>
      </c>
      <c r="E63" s="19"/>
      <c r="F63" s="17">
        <v>15</v>
      </c>
      <c r="G63" s="17"/>
      <c r="H63" s="17"/>
      <c r="I63" s="2"/>
      <c r="J63" s="2"/>
    </row>
    <row r="64" spans="1:10" s="1" customFormat="1" ht="15" customHeight="1" x14ac:dyDescent="0.3">
      <c r="A64" s="14">
        <v>45876</v>
      </c>
      <c r="B64" s="15">
        <v>56</v>
      </c>
      <c r="C64" s="3" t="s">
        <v>125</v>
      </c>
      <c r="D64" s="18" t="s">
        <v>0</v>
      </c>
      <c r="E64" s="19"/>
      <c r="F64" s="17">
        <v>15</v>
      </c>
      <c r="G64" s="17"/>
      <c r="H64" s="17"/>
      <c r="I64" s="2"/>
      <c r="J64" s="2"/>
    </row>
    <row r="65" spans="1:10" s="1" customFormat="1" ht="15" customHeight="1" x14ac:dyDescent="0.3">
      <c r="A65" s="14">
        <v>45877</v>
      </c>
      <c r="B65" s="15">
        <v>57</v>
      </c>
      <c r="C65" s="3" t="s">
        <v>129</v>
      </c>
      <c r="D65" s="18" t="s">
        <v>13</v>
      </c>
      <c r="E65" s="16"/>
      <c r="F65" s="17">
        <v>250</v>
      </c>
      <c r="G65" s="17"/>
      <c r="H65" s="17"/>
      <c r="I65" s="2"/>
      <c r="J65" s="2"/>
    </row>
    <row r="66" spans="1:10" s="1" customFormat="1" ht="15" customHeight="1" x14ac:dyDescent="0.3">
      <c r="A66" s="14">
        <v>45887</v>
      </c>
      <c r="B66" s="15" t="s">
        <v>131</v>
      </c>
      <c r="C66" s="3" t="s">
        <v>124</v>
      </c>
      <c r="D66" s="18" t="s">
        <v>0</v>
      </c>
      <c r="E66" s="16"/>
      <c r="F66" s="17"/>
      <c r="G66" s="17"/>
      <c r="H66" s="17">
        <v>138</v>
      </c>
      <c r="I66" s="2"/>
      <c r="J66" s="2"/>
    </row>
    <row r="67" spans="1:10" s="1" customFormat="1" ht="15" customHeight="1" x14ac:dyDescent="0.3">
      <c r="A67" s="14">
        <v>45898</v>
      </c>
      <c r="B67" s="48">
        <v>58</v>
      </c>
      <c r="C67" s="3" t="s">
        <v>124</v>
      </c>
      <c r="D67" s="18" t="s">
        <v>0</v>
      </c>
      <c r="E67" s="16"/>
      <c r="F67" s="17">
        <v>160</v>
      </c>
      <c r="G67" s="17"/>
      <c r="H67" s="17"/>
      <c r="I67" s="2"/>
      <c r="J67" s="2"/>
    </row>
    <row r="68" spans="1:10" s="1" customFormat="1" ht="15" customHeight="1" x14ac:dyDescent="0.3">
      <c r="A68" s="14">
        <v>45936</v>
      </c>
      <c r="B68" s="48">
        <v>59</v>
      </c>
      <c r="C68" s="3" t="s">
        <v>124</v>
      </c>
      <c r="D68" s="18" t="s">
        <v>0</v>
      </c>
      <c r="E68" s="16"/>
      <c r="F68" s="17">
        <v>128</v>
      </c>
      <c r="G68" s="17"/>
      <c r="H68" s="17"/>
      <c r="I68" s="2"/>
      <c r="J68" s="2"/>
    </row>
    <row r="69" spans="1:10" s="1" customFormat="1" ht="15" customHeight="1" x14ac:dyDescent="0.3">
      <c r="A69" s="14">
        <v>45936</v>
      </c>
      <c r="B69" s="48">
        <v>60</v>
      </c>
      <c r="C69" s="37" t="s">
        <v>136</v>
      </c>
      <c r="D69" s="18" t="s">
        <v>0</v>
      </c>
      <c r="E69" s="16"/>
      <c r="F69" s="17"/>
      <c r="G69" s="17"/>
      <c r="H69" s="17">
        <v>20</v>
      </c>
      <c r="I69" s="2"/>
      <c r="J69" s="2"/>
    </row>
    <row r="70" spans="1:10" s="1" customFormat="1" ht="15" customHeight="1" x14ac:dyDescent="0.3">
      <c r="A70" s="14">
        <v>45945</v>
      </c>
      <c r="B70" s="48">
        <v>61</v>
      </c>
      <c r="C70" s="3" t="s">
        <v>45</v>
      </c>
      <c r="D70" s="18" t="s">
        <v>0</v>
      </c>
      <c r="E70" s="16"/>
      <c r="F70" s="17"/>
      <c r="G70" s="17"/>
      <c r="H70" s="17">
        <v>76</v>
      </c>
      <c r="I70" s="2"/>
      <c r="J70" s="2"/>
    </row>
    <row r="71" spans="1:10" s="1" customFormat="1" ht="15" customHeight="1" x14ac:dyDescent="0.3">
      <c r="A71" s="14">
        <v>45964</v>
      </c>
      <c r="B71" s="48">
        <v>62</v>
      </c>
      <c r="C71" s="3" t="s">
        <v>45</v>
      </c>
      <c r="D71" s="18" t="s">
        <v>0</v>
      </c>
      <c r="E71" s="16"/>
      <c r="F71" s="17">
        <v>104</v>
      </c>
      <c r="G71" s="17"/>
      <c r="H71" s="17"/>
      <c r="I71" s="2"/>
      <c r="J71" s="2"/>
    </row>
    <row r="72" spans="1:10" s="1" customFormat="1" ht="15" customHeight="1" x14ac:dyDescent="0.3">
      <c r="A72" s="14">
        <v>45975</v>
      </c>
      <c r="B72" s="15">
        <v>63</v>
      </c>
      <c r="C72" s="15" t="s">
        <v>45</v>
      </c>
      <c r="D72" s="18" t="s">
        <v>0</v>
      </c>
      <c r="E72" s="16"/>
      <c r="F72" s="17"/>
      <c r="G72" s="17"/>
      <c r="H72" s="17">
        <v>60</v>
      </c>
      <c r="I72" s="2"/>
      <c r="J72" s="2"/>
    </row>
    <row r="73" spans="1:10" s="1" customFormat="1" ht="15" customHeight="1" x14ac:dyDescent="0.3">
      <c r="A73" s="14">
        <v>45979</v>
      </c>
      <c r="B73" s="48">
        <v>64</v>
      </c>
      <c r="C73" s="37" t="s">
        <v>147</v>
      </c>
      <c r="D73" s="18" t="s">
        <v>27</v>
      </c>
      <c r="E73" s="16"/>
      <c r="F73" s="17">
        <v>8</v>
      </c>
      <c r="G73" s="17"/>
      <c r="H73" s="17"/>
      <c r="I73" s="2"/>
      <c r="J73" s="2"/>
    </row>
    <row r="74" spans="1:10" s="1" customFormat="1" ht="15" customHeight="1" x14ac:dyDescent="0.3">
      <c r="A74" s="14">
        <v>45982</v>
      </c>
      <c r="B74" s="15">
        <v>65</v>
      </c>
      <c r="C74" s="15" t="s">
        <v>152</v>
      </c>
      <c r="D74" s="18" t="s">
        <v>0</v>
      </c>
      <c r="E74" s="16"/>
      <c r="F74" s="17">
        <v>168</v>
      </c>
      <c r="G74" s="17"/>
      <c r="H74" s="17"/>
      <c r="I74" s="2"/>
      <c r="J74" s="2"/>
    </row>
    <row r="75" spans="1:10" s="1" customFormat="1" ht="15" customHeight="1" x14ac:dyDescent="0.3">
      <c r="A75" s="14">
        <v>45982</v>
      </c>
      <c r="B75" s="15">
        <v>66</v>
      </c>
      <c r="C75" s="15" t="s">
        <v>153</v>
      </c>
      <c r="D75" s="18" t="s">
        <v>0</v>
      </c>
      <c r="E75" s="16"/>
      <c r="F75" s="17">
        <v>15</v>
      </c>
      <c r="G75" s="17"/>
      <c r="H75" s="17"/>
      <c r="I75" s="2"/>
      <c r="J75" s="2"/>
    </row>
    <row r="76" spans="1:10" s="1" customFormat="1" ht="15" customHeight="1" x14ac:dyDescent="0.3">
      <c r="A76" s="14">
        <v>45985</v>
      </c>
      <c r="B76" s="15">
        <v>67</v>
      </c>
      <c r="C76" s="15" t="s">
        <v>144</v>
      </c>
      <c r="D76" s="18" t="s">
        <v>0</v>
      </c>
      <c r="E76" s="16"/>
      <c r="F76" s="17"/>
      <c r="G76" s="17"/>
      <c r="H76" s="17">
        <v>20</v>
      </c>
      <c r="I76" s="2"/>
      <c r="J76" s="2"/>
    </row>
    <row r="77" spans="1:10" s="1" customFormat="1" ht="15" customHeight="1" x14ac:dyDescent="0.3">
      <c r="A77" s="14">
        <v>45986</v>
      </c>
      <c r="B77" s="15" t="s">
        <v>168</v>
      </c>
      <c r="C77" s="15" t="s">
        <v>169</v>
      </c>
      <c r="D77" s="18" t="s">
        <v>18</v>
      </c>
      <c r="E77" s="16"/>
      <c r="F77" s="17">
        <v>0</v>
      </c>
      <c r="G77" s="17"/>
      <c r="H77" s="17"/>
      <c r="I77" s="2"/>
      <c r="J77" s="2"/>
    </row>
    <row r="78" spans="1:10" s="1" customFormat="1" ht="15" customHeight="1" x14ac:dyDescent="0.3">
      <c r="A78" s="14">
        <v>45988</v>
      </c>
      <c r="B78" s="15" t="s">
        <v>166</v>
      </c>
      <c r="C78" s="15" t="s">
        <v>167</v>
      </c>
      <c r="D78" s="18" t="s">
        <v>18</v>
      </c>
      <c r="E78" s="16"/>
      <c r="F78" s="17">
        <v>0</v>
      </c>
      <c r="G78" s="17"/>
      <c r="H78" s="17"/>
      <c r="I78" s="2"/>
      <c r="J78" s="2"/>
    </row>
    <row r="79" spans="1:10" s="1" customFormat="1" ht="15" customHeight="1" x14ac:dyDescent="0.3">
      <c r="A79" s="14">
        <v>45992</v>
      </c>
      <c r="B79" s="15" t="s">
        <v>170</v>
      </c>
      <c r="C79" s="15" t="s">
        <v>171</v>
      </c>
      <c r="D79" s="18" t="s">
        <v>18</v>
      </c>
      <c r="E79" s="16"/>
      <c r="F79" s="17">
        <v>0</v>
      </c>
      <c r="G79" s="17"/>
      <c r="H79" s="17"/>
      <c r="I79" s="2"/>
      <c r="J79" s="2"/>
    </row>
    <row r="80" spans="1:10" s="1" customFormat="1" ht="15" customHeight="1" x14ac:dyDescent="0.3">
      <c r="A80" s="14">
        <v>45993</v>
      </c>
      <c r="B80" s="15">
        <v>68</v>
      </c>
      <c r="C80" s="15" t="s">
        <v>156</v>
      </c>
      <c r="D80" s="18" t="s">
        <v>0</v>
      </c>
      <c r="E80" s="19"/>
      <c r="F80" s="17"/>
      <c r="G80" s="17"/>
      <c r="H80" s="17">
        <v>103</v>
      </c>
      <c r="I80" s="2"/>
      <c r="J80" s="2"/>
    </row>
    <row r="81" spans="1:10" s="1" customFormat="1" ht="15" customHeight="1" x14ac:dyDescent="0.3">
      <c r="A81" s="14">
        <v>45993</v>
      </c>
      <c r="B81" s="15">
        <v>69</v>
      </c>
      <c r="C81" s="15" t="s">
        <v>157</v>
      </c>
      <c r="D81" s="18" t="s">
        <v>0</v>
      </c>
      <c r="E81" s="16"/>
      <c r="F81" s="17"/>
      <c r="G81" s="17"/>
      <c r="H81" s="17">
        <v>70</v>
      </c>
      <c r="I81" s="2"/>
      <c r="J81" s="2"/>
    </row>
    <row r="82" spans="1:10" s="1" customFormat="1" ht="15" customHeight="1" x14ac:dyDescent="0.3">
      <c r="A82" s="14">
        <v>46005</v>
      </c>
      <c r="B82" s="15" t="s">
        <v>172</v>
      </c>
      <c r="C82" s="15" t="s">
        <v>173</v>
      </c>
      <c r="D82" s="18" t="s">
        <v>18</v>
      </c>
      <c r="E82" s="16"/>
      <c r="F82" s="17">
        <v>0</v>
      </c>
      <c r="G82" s="17"/>
      <c r="H82" s="17"/>
      <c r="I82" s="2"/>
      <c r="J82" s="2"/>
    </row>
    <row r="83" spans="1:10" s="1" customFormat="1" ht="15" customHeight="1" x14ac:dyDescent="0.3">
      <c r="A83" s="14">
        <v>46006</v>
      </c>
      <c r="B83" s="15">
        <v>70</v>
      </c>
      <c r="C83" s="15" t="s">
        <v>45</v>
      </c>
      <c r="D83" s="18" t="s">
        <v>0</v>
      </c>
      <c r="E83" s="16"/>
      <c r="F83" s="17"/>
      <c r="G83" s="17"/>
      <c r="H83" s="17">
        <v>104</v>
      </c>
      <c r="I83" s="2"/>
      <c r="J83" s="2"/>
    </row>
    <row r="84" spans="1:10" s="1" customFormat="1" ht="15" customHeight="1" x14ac:dyDescent="0.3">
      <c r="A84" s="14">
        <v>46006</v>
      </c>
      <c r="B84" s="15">
        <v>71</v>
      </c>
      <c r="C84" s="15" t="s">
        <v>158</v>
      </c>
      <c r="D84" s="18" t="s">
        <v>0</v>
      </c>
      <c r="E84" s="16"/>
      <c r="F84" s="17"/>
      <c r="G84" s="17"/>
      <c r="H84" s="17">
        <v>1940</v>
      </c>
      <c r="I84" s="2"/>
      <c r="J84" s="2"/>
    </row>
    <row r="85" spans="1:10" s="1" customFormat="1" ht="15" customHeight="1" x14ac:dyDescent="0.3">
      <c r="A85" s="14">
        <v>46007</v>
      </c>
      <c r="B85" s="15" t="s">
        <v>174</v>
      </c>
      <c r="C85" s="15" t="s">
        <v>175</v>
      </c>
      <c r="D85" s="18" t="s">
        <v>18</v>
      </c>
      <c r="E85" s="16"/>
      <c r="F85" s="17">
        <v>0</v>
      </c>
      <c r="G85" s="17"/>
      <c r="H85" s="17"/>
      <c r="I85" s="2"/>
      <c r="J85" s="2"/>
    </row>
    <row r="86" spans="1:10" s="1" customFormat="1" ht="15" customHeight="1" x14ac:dyDescent="0.3">
      <c r="A86" s="14">
        <v>46014</v>
      </c>
      <c r="B86" s="15">
        <v>72</v>
      </c>
      <c r="C86" s="15" t="s">
        <v>176</v>
      </c>
      <c r="D86" s="18" t="s">
        <v>0</v>
      </c>
      <c r="E86" s="16"/>
      <c r="F86" s="17">
        <v>100</v>
      </c>
      <c r="G86" s="17"/>
      <c r="H86" s="17"/>
      <c r="I86" s="2"/>
      <c r="J86" s="2"/>
    </row>
    <row r="87" spans="1:10" s="1" customFormat="1" ht="15" customHeight="1" x14ac:dyDescent="0.3">
      <c r="A87" s="14">
        <v>46020</v>
      </c>
      <c r="B87" s="15">
        <v>73</v>
      </c>
      <c r="C87" s="15" t="s">
        <v>177</v>
      </c>
      <c r="D87" s="18" t="s">
        <v>12</v>
      </c>
      <c r="E87" s="16"/>
      <c r="F87" s="17"/>
      <c r="G87" s="17"/>
      <c r="H87" s="17">
        <v>100</v>
      </c>
      <c r="I87" s="2"/>
      <c r="J87" s="2"/>
    </row>
    <row r="88" spans="1:10" s="1" customFormat="1" ht="15" customHeight="1" x14ac:dyDescent="0.3">
      <c r="A88" s="14">
        <v>46021</v>
      </c>
      <c r="B88" s="15">
        <v>74</v>
      </c>
      <c r="C88" s="15" t="s">
        <v>179</v>
      </c>
      <c r="D88" s="2" t="s">
        <v>25</v>
      </c>
      <c r="E88" s="16"/>
      <c r="F88" s="17">
        <v>8.02</v>
      </c>
      <c r="G88" s="17"/>
      <c r="H88" s="17" t="s">
        <v>178</v>
      </c>
      <c r="I88" s="2"/>
      <c r="J88" s="2"/>
    </row>
    <row r="89" spans="1:10" s="1" customFormat="1" ht="15" customHeight="1" x14ac:dyDescent="0.3">
      <c r="A89" s="14">
        <v>46022</v>
      </c>
      <c r="B89" s="15">
        <v>75</v>
      </c>
      <c r="C89" s="15" t="s">
        <v>182</v>
      </c>
      <c r="D89" s="18" t="s">
        <v>12</v>
      </c>
      <c r="E89" s="16"/>
      <c r="F89" s="17">
        <v>0</v>
      </c>
      <c r="G89" s="17"/>
      <c r="H89" s="17"/>
      <c r="I89" s="2"/>
      <c r="J89" s="2"/>
    </row>
    <row r="90" spans="1:10" s="1" customFormat="1" ht="15" customHeight="1" x14ac:dyDescent="0.3">
      <c r="A90" s="14">
        <v>46022</v>
      </c>
      <c r="B90" s="15">
        <v>76</v>
      </c>
      <c r="C90" s="15" t="s">
        <v>183</v>
      </c>
      <c r="D90" s="18" t="s">
        <v>12</v>
      </c>
      <c r="E90" s="16"/>
      <c r="F90" s="17">
        <v>0</v>
      </c>
      <c r="G90" s="17"/>
      <c r="H90" s="17"/>
      <c r="I90" s="2"/>
      <c r="J90" s="2"/>
    </row>
    <row r="91" spans="1:10" s="1" customFormat="1" ht="15" customHeight="1" x14ac:dyDescent="0.3">
      <c r="A91" s="14">
        <v>46022</v>
      </c>
      <c r="B91" s="15">
        <v>77</v>
      </c>
      <c r="C91" s="15" t="s">
        <v>184</v>
      </c>
      <c r="D91" s="18" t="s">
        <v>12</v>
      </c>
      <c r="E91" s="16"/>
      <c r="F91" s="17">
        <v>0</v>
      </c>
      <c r="G91" s="17"/>
      <c r="H91" s="17"/>
      <c r="I91" s="2"/>
      <c r="J91" s="2"/>
    </row>
    <row r="92" spans="1:10" s="1" customFormat="1" ht="15" customHeight="1" x14ac:dyDescent="0.3">
      <c r="A92" s="14">
        <v>46022</v>
      </c>
      <c r="B92" s="15">
        <v>78</v>
      </c>
      <c r="C92" s="15" t="s">
        <v>185</v>
      </c>
      <c r="D92" s="18" t="s">
        <v>12</v>
      </c>
      <c r="E92" s="16"/>
      <c r="F92" s="17">
        <v>0</v>
      </c>
      <c r="G92" s="17"/>
      <c r="H92" s="17"/>
      <c r="I92" s="2"/>
      <c r="J92" s="2"/>
    </row>
    <row r="93" spans="1:10" s="1" customFormat="1" ht="15" customHeight="1" x14ac:dyDescent="0.3">
      <c r="A93" s="14">
        <v>46022</v>
      </c>
      <c r="B93" s="48">
        <v>79</v>
      </c>
      <c r="C93" s="15" t="s">
        <v>186</v>
      </c>
      <c r="D93" s="18" t="s">
        <v>12</v>
      </c>
      <c r="E93" s="16"/>
      <c r="F93" s="17">
        <v>0</v>
      </c>
      <c r="G93" s="17"/>
      <c r="H93" s="17"/>
      <c r="I93" s="2"/>
      <c r="J93" s="2"/>
    </row>
    <row r="94" spans="1:10" s="1" customFormat="1" ht="15" customHeight="1" x14ac:dyDescent="0.3">
      <c r="A94" s="14">
        <v>46022</v>
      </c>
      <c r="B94" s="15">
        <v>80</v>
      </c>
      <c r="C94" s="15" t="s">
        <v>187</v>
      </c>
      <c r="D94" s="18" t="s">
        <v>12</v>
      </c>
      <c r="E94" s="16"/>
      <c r="F94" s="17">
        <v>0</v>
      </c>
      <c r="G94" s="17"/>
      <c r="H94" s="17"/>
      <c r="I94" s="2"/>
      <c r="J94" s="2"/>
    </row>
    <row r="95" spans="1:10" s="1" customFormat="1" ht="15" customHeight="1" x14ac:dyDescent="0.3">
      <c r="A95" s="14">
        <v>46022</v>
      </c>
      <c r="B95" s="15">
        <v>81</v>
      </c>
      <c r="C95" s="15" t="s">
        <v>188</v>
      </c>
      <c r="D95" s="18" t="s">
        <v>12</v>
      </c>
      <c r="E95" s="16"/>
      <c r="F95" s="17">
        <v>0</v>
      </c>
      <c r="G95" s="17"/>
      <c r="H95" s="17"/>
      <c r="I95" s="2"/>
      <c r="J95" s="2"/>
    </row>
    <row r="96" spans="1:10" s="1" customFormat="1" ht="15" customHeight="1" x14ac:dyDescent="0.3">
      <c r="A96" s="14">
        <v>46022</v>
      </c>
      <c r="B96" s="15">
        <v>82</v>
      </c>
      <c r="C96" s="15" t="s">
        <v>189</v>
      </c>
      <c r="D96" s="18" t="s">
        <v>12</v>
      </c>
      <c r="E96" s="16"/>
      <c r="F96" s="17">
        <v>0</v>
      </c>
      <c r="G96" s="17"/>
      <c r="H96" s="17"/>
      <c r="I96" s="2"/>
      <c r="J96" s="2"/>
    </row>
    <row r="97" spans="1:10" s="1" customFormat="1" ht="15" customHeight="1" x14ac:dyDescent="0.3">
      <c r="A97" s="14">
        <v>46022</v>
      </c>
      <c r="B97" s="15">
        <v>83</v>
      </c>
      <c r="C97" s="15" t="s">
        <v>190</v>
      </c>
      <c r="D97" s="18" t="s">
        <v>12</v>
      </c>
      <c r="E97" s="16"/>
      <c r="F97" s="17">
        <v>0</v>
      </c>
      <c r="G97" s="17"/>
      <c r="H97" s="17"/>
      <c r="I97" s="2"/>
      <c r="J97" s="2"/>
    </row>
    <row r="98" spans="1:10" s="1" customFormat="1" ht="15" customHeight="1" x14ac:dyDescent="0.3">
      <c r="A98" s="14">
        <v>46022</v>
      </c>
      <c r="B98" s="15">
        <v>84</v>
      </c>
      <c r="C98" s="15" t="s">
        <v>191</v>
      </c>
      <c r="D98" s="18" t="s">
        <v>12</v>
      </c>
      <c r="E98" s="16"/>
      <c r="F98" s="17">
        <v>0</v>
      </c>
      <c r="G98" s="17"/>
      <c r="H98" s="17"/>
      <c r="I98" s="2"/>
      <c r="J98" s="2"/>
    </row>
    <row r="99" spans="1:10" s="1" customFormat="1" ht="15" customHeight="1" x14ac:dyDescent="0.3">
      <c r="A99" s="14"/>
      <c r="B99" s="15">
        <v>85</v>
      </c>
      <c r="C99" s="3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86</v>
      </c>
      <c r="C100" s="3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87</v>
      </c>
      <c r="C101" s="3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88</v>
      </c>
      <c r="C102" s="3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48">
        <v>89</v>
      </c>
      <c r="C103" s="37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90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91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92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93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>
        <v>94</v>
      </c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>
        <v>95</v>
      </c>
      <c r="C109" s="37"/>
      <c r="D109" s="18"/>
      <c r="E109" s="20"/>
      <c r="F109" s="20"/>
      <c r="G109" s="17"/>
      <c r="H109" s="17"/>
      <c r="I109" s="2"/>
      <c r="J109" s="2"/>
    </row>
    <row r="110" spans="1:10" s="1" customFormat="1" ht="15" customHeight="1" x14ac:dyDescent="0.3">
      <c r="A110" s="14"/>
      <c r="B110" s="15">
        <v>96</v>
      </c>
      <c r="C110" s="37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14"/>
      <c r="B111" s="15">
        <v>97</v>
      </c>
      <c r="C111" s="15"/>
      <c r="D111" s="18"/>
      <c r="E111" s="16"/>
      <c r="F111" s="17"/>
      <c r="G111" s="17"/>
      <c r="H111" s="17"/>
      <c r="I111" s="2"/>
      <c r="J111" s="2"/>
    </row>
    <row r="112" spans="1:10" s="1" customFormat="1" ht="15" customHeight="1" x14ac:dyDescent="0.3">
      <c r="A112" s="14"/>
      <c r="B112" s="15">
        <v>98</v>
      </c>
      <c r="C112" s="15"/>
      <c r="D112" s="18"/>
      <c r="E112" s="16"/>
      <c r="F112" s="17"/>
      <c r="G112" s="17"/>
      <c r="H112" s="17"/>
      <c r="I112" s="2"/>
      <c r="J112" s="2"/>
    </row>
    <row r="113" spans="1:10" s="1" customFormat="1" ht="15" customHeight="1" x14ac:dyDescent="0.3">
      <c r="A113" s="14"/>
      <c r="B113" s="15">
        <v>99</v>
      </c>
      <c r="C113" s="15"/>
      <c r="D113" s="18"/>
      <c r="E113" s="16"/>
      <c r="F113" s="17"/>
      <c r="G113" s="17"/>
      <c r="H113" s="17"/>
      <c r="I113" s="2"/>
      <c r="J113" s="2"/>
    </row>
    <row r="114" spans="1:10" s="1" customFormat="1" ht="15" customHeight="1" x14ac:dyDescent="0.3">
      <c r="A114" s="14"/>
      <c r="B114" s="15">
        <v>100</v>
      </c>
      <c r="C114" s="15"/>
      <c r="D114" s="18"/>
      <c r="E114" s="16"/>
      <c r="F114" s="17"/>
      <c r="G114" s="17"/>
      <c r="H114" s="17"/>
      <c r="I114" s="2"/>
      <c r="J114" s="2"/>
    </row>
    <row r="115" spans="1:10" s="1" customFormat="1" ht="15" customHeight="1" x14ac:dyDescent="0.3">
      <c r="A115" s="14"/>
      <c r="B115" s="15">
        <v>101</v>
      </c>
      <c r="C115" s="15"/>
      <c r="D115" s="18"/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14"/>
      <c r="B116" s="15">
        <v>102</v>
      </c>
      <c r="C116" s="15"/>
      <c r="D116" s="18"/>
      <c r="E116" s="16"/>
      <c r="F116" s="17"/>
      <c r="G116" s="17"/>
      <c r="H116" s="17"/>
      <c r="I116" s="2"/>
      <c r="J116" s="2"/>
    </row>
    <row r="117" spans="1:10" s="1" customFormat="1" ht="15" customHeight="1" x14ac:dyDescent="0.3">
      <c r="A117" s="14"/>
      <c r="B117" s="15">
        <v>103</v>
      </c>
      <c r="C117" s="15"/>
      <c r="D117" s="18"/>
      <c r="E117" s="16"/>
      <c r="F117" s="17"/>
      <c r="G117" s="17"/>
      <c r="H117" s="17"/>
      <c r="I117" s="2"/>
      <c r="J117" s="2"/>
    </row>
    <row r="118" spans="1:10" s="1" customFormat="1" ht="15" customHeight="1" x14ac:dyDescent="0.3">
      <c r="A118" s="14"/>
      <c r="B118" s="15"/>
      <c r="C118" s="15"/>
      <c r="D118" s="18"/>
      <c r="E118" s="16"/>
      <c r="F118" s="17"/>
      <c r="G118" s="17"/>
      <c r="H118" s="17"/>
      <c r="I118" s="2"/>
      <c r="J118" s="2"/>
    </row>
    <row r="119" spans="1:10" s="1" customFormat="1" ht="15" customHeight="1" x14ac:dyDescent="0.3">
      <c r="A119" s="14"/>
      <c r="B119" s="15"/>
      <c r="C119" s="15"/>
      <c r="D119" s="18"/>
      <c r="E119" s="16"/>
      <c r="F119" s="17"/>
      <c r="G119" s="17"/>
      <c r="H119" s="17"/>
      <c r="I119" s="2"/>
      <c r="J119" s="2"/>
    </row>
    <row r="120" spans="1:10" s="1" customFormat="1" ht="15" customHeight="1" x14ac:dyDescent="0.3">
      <c r="A120" s="14"/>
      <c r="B120" s="15"/>
      <c r="C120" s="15"/>
      <c r="D120" s="18"/>
      <c r="E120" s="16"/>
      <c r="F120" s="17"/>
      <c r="G120" s="17"/>
      <c r="H120" s="17"/>
      <c r="I120" s="2" t="s">
        <v>31</v>
      </c>
      <c r="J120" s="2"/>
    </row>
    <row r="121" spans="1:10" s="1" customFormat="1" ht="15" customHeight="1" x14ac:dyDescent="0.3">
      <c r="A121" s="22" t="s">
        <v>15</v>
      </c>
      <c r="B121" s="23"/>
      <c r="C121" s="23"/>
      <c r="D121" s="24"/>
      <c r="E121" s="25">
        <f>SUM(E3:E120)</f>
        <v>1105</v>
      </c>
      <c r="F121" s="26">
        <f>SUM(F3:F120)</f>
        <v>10660.450000000023</v>
      </c>
      <c r="G121" s="26">
        <f>SUM(G3:G120)</f>
        <v>2000.5</v>
      </c>
      <c r="H121" s="26">
        <f>SUM(H3:H120)</f>
        <v>4219.9999999999991</v>
      </c>
      <c r="I121" s="2"/>
      <c r="J121" s="2"/>
    </row>
    <row r="122" spans="1:10" s="1" customFormat="1" ht="15" customHeight="1" x14ac:dyDescent="0.3">
      <c r="A122" s="33"/>
      <c r="B122" s="33"/>
      <c r="C122" s="33"/>
      <c r="D122" s="33"/>
      <c r="E122" s="34"/>
      <c r="F122" s="34"/>
      <c r="G122" s="34"/>
      <c r="H122" s="34"/>
      <c r="I122" s="2"/>
      <c r="J122" s="2"/>
    </row>
    <row r="123" spans="1:10" s="1" customFormat="1" ht="15" customHeight="1" x14ac:dyDescent="0.3">
      <c r="A123" s="22" t="s">
        <v>16</v>
      </c>
      <c r="B123" s="23"/>
      <c r="C123" s="23"/>
      <c r="D123" s="45"/>
      <c r="E123" s="26">
        <f>E121+Ausgaben!F178</f>
        <v>0</v>
      </c>
      <c r="F123" s="26">
        <f>F121+Ausgaben!G178</f>
        <v>583.69000000002416</v>
      </c>
      <c r="G123" s="26">
        <f>G121+Ausgaben!H178</f>
        <v>2000.5</v>
      </c>
      <c r="H123" s="26">
        <f>H121+Ausgaben!I178</f>
        <v>4050.9699999999989</v>
      </c>
      <c r="I123" s="2"/>
      <c r="J123" s="2"/>
    </row>
    <row r="124" spans="1:10" s="1" customFormat="1" ht="15" customHeight="1" x14ac:dyDescent="0.3">
      <c r="A124" s="35"/>
      <c r="B124" s="35"/>
      <c r="C124" s="35"/>
      <c r="D124" s="35"/>
      <c r="E124" s="13"/>
      <c r="F124" s="13"/>
      <c r="G124" s="13"/>
      <c r="H124" s="13"/>
      <c r="I124" s="2"/>
      <c r="J124" s="2"/>
    </row>
    <row r="125" spans="1:10" s="1" customFormat="1" ht="15" customHeight="1" x14ac:dyDescent="0.3">
      <c r="A125" s="5" t="s">
        <v>17</v>
      </c>
      <c r="B125" s="5"/>
      <c r="C125" s="22"/>
      <c r="D125" s="27">
        <f>SUM(E123:H123)</f>
        <v>6635.1600000000235</v>
      </c>
      <c r="E125" s="16"/>
      <c r="F125" s="17"/>
      <c r="G125" s="17"/>
      <c r="H125" s="17"/>
      <c r="I125" s="2"/>
      <c r="J125" s="2"/>
    </row>
    <row r="126" spans="1:10" s="1" customFormat="1" ht="15" customHeight="1" x14ac:dyDescent="0.3">
      <c r="A126" s="36"/>
      <c r="B126" s="36"/>
      <c r="C126" s="36"/>
      <c r="D126" s="36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 t="s">
        <v>42</v>
      </c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s="1" customFormat="1" ht="15" customHeight="1" x14ac:dyDescent="0.3">
      <c r="A175" s="2"/>
      <c r="B175" s="2"/>
      <c r="C175" s="2"/>
      <c r="D175" s="2"/>
      <c r="E175" s="17"/>
      <c r="F175" s="17"/>
      <c r="G175" s="17"/>
      <c r="H175" s="17"/>
      <c r="I175" s="2"/>
      <c r="J175" s="2"/>
    </row>
    <row r="176" spans="1:10" s="1" customFormat="1" ht="15" customHeight="1" x14ac:dyDescent="0.3">
      <c r="A176" s="2"/>
      <c r="B176" s="2"/>
      <c r="C176" s="2"/>
      <c r="D176" s="2"/>
      <c r="E176" s="17"/>
      <c r="F176" s="17"/>
      <c r="G176" s="17"/>
      <c r="H176" s="17"/>
      <c r="I176" s="2"/>
      <c r="J176" s="2"/>
    </row>
    <row r="177" spans="1:10" s="1" customFormat="1" ht="15" customHeight="1" x14ac:dyDescent="0.3">
      <c r="A177" s="2"/>
      <c r="B177" s="2"/>
      <c r="C177" s="2"/>
      <c r="D177" s="2"/>
      <c r="E177" s="17"/>
      <c r="F177" s="17"/>
      <c r="G177" s="17"/>
      <c r="H177" s="17"/>
      <c r="I177" s="2"/>
      <c r="J177" s="2"/>
    </row>
    <row r="178" spans="1:10" s="1" customFormat="1" ht="15" customHeight="1" x14ac:dyDescent="0.3">
      <c r="A178" s="2"/>
      <c r="B178" s="2"/>
      <c r="C178" s="2"/>
      <c r="D178" s="2"/>
      <c r="E178" s="17"/>
      <c r="F178" s="17"/>
      <c r="G178" s="17"/>
      <c r="H178" s="17"/>
      <c r="I178" s="2"/>
      <c r="J178" s="2"/>
    </row>
    <row r="179" spans="1:10" s="1" customFormat="1" ht="15" customHeight="1" x14ac:dyDescent="0.3">
      <c r="A179" s="2"/>
      <c r="B179" s="2"/>
      <c r="C179" s="2"/>
      <c r="D179" s="2"/>
      <c r="E179" s="17"/>
      <c r="F179" s="17"/>
      <c r="G179" s="17"/>
      <c r="H179" s="17"/>
      <c r="I179" s="2"/>
      <c r="J179" s="2"/>
    </row>
    <row r="180" spans="1:10" s="1" customFormat="1" ht="15" customHeight="1" x14ac:dyDescent="0.3">
      <c r="A180" s="2"/>
      <c r="B180" s="2"/>
      <c r="C180" s="2"/>
      <c r="D180" s="2"/>
      <c r="E180" s="17"/>
      <c r="F180" s="17"/>
      <c r="G180" s="17"/>
      <c r="H180" s="17"/>
      <c r="I180" s="2"/>
      <c r="J180" s="2"/>
    </row>
    <row r="181" spans="1:10" s="1" customFormat="1" ht="15" customHeight="1" x14ac:dyDescent="0.3">
      <c r="A181" s="2"/>
      <c r="B181" s="2"/>
      <c r="C181" s="2"/>
      <c r="D181" s="2"/>
      <c r="E181" s="17"/>
      <c r="F181" s="17"/>
      <c r="G181" s="17"/>
      <c r="H181" s="17"/>
      <c r="I181" s="2"/>
      <c r="J181" s="2"/>
    </row>
    <row r="182" spans="1:10" s="1" customFormat="1" ht="15" customHeight="1" x14ac:dyDescent="0.3">
      <c r="A182" s="2"/>
      <c r="B182" s="2"/>
      <c r="C182" s="2"/>
      <c r="D182" s="2"/>
      <c r="E182" s="17"/>
      <c r="F182" s="17"/>
      <c r="G182" s="17"/>
      <c r="H182" s="17"/>
      <c r="I182" s="2"/>
      <c r="J182" s="2"/>
    </row>
    <row r="183" spans="1:10" s="1" customFormat="1" ht="15" customHeight="1" x14ac:dyDescent="0.3">
      <c r="A183" s="2"/>
      <c r="B183" s="2"/>
      <c r="C183" s="2"/>
      <c r="D183" s="2"/>
      <c r="E183" s="17"/>
      <c r="F183" s="17"/>
      <c r="G183" s="17"/>
      <c r="H183" s="17"/>
      <c r="I183" s="2"/>
      <c r="J183" s="2"/>
    </row>
    <row r="184" spans="1:10" s="1" customFormat="1" ht="15" customHeight="1" x14ac:dyDescent="0.3">
      <c r="A184" s="2"/>
      <c r="B184" s="2"/>
      <c r="C184" s="2"/>
      <c r="D184" s="2"/>
      <c r="E184" s="17"/>
      <c r="F184" s="17"/>
      <c r="G184" s="17"/>
      <c r="H184" s="17"/>
      <c r="I184" s="2"/>
      <c r="J184" s="2"/>
    </row>
    <row r="185" spans="1:10" s="1" customFormat="1" ht="15" customHeight="1" x14ac:dyDescent="0.3">
      <c r="A185" s="2"/>
      <c r="B185" s="2"/>
      <c r="C185" s="2"/>
      <c r="D185" s="2"/>
      <c r="E185" s="17"/>
      <c r="F185" s="17"/>
      <c r="G185" s="17"/>
      <c r="H185" s="17"/>
      <c r="I185" s="2"/>
      <c r="J185" s="2"/>
    </row>
    <row r="186" spans="1:10" ht="15" customHeight="1" x14ac:dyDescent="0.3">
      <c r="J186" s="2"/>
    </row>
  </sheetData>
  <autoFilter ref="A2:H117" xr:uid="{00000000-0009-0000-0000-000000000000}"/>
  <mergeCells count="1">
    <mergeCell ref="A1:H1"/>
  </mergeCells>
  <conditionalFormatting sqref="A104:A107">
    <cfRule type="cellIs" dxfId="46" priority="59" stopIfTrue="1" operator="lessThan">
      <formula>0</formula>
    </cfRule>
  </conditionalFormatting>
  <conditionalFormatting sqref="B93">
    <cfRule type="cellIs" dxfId="45" priority="201" stopIfTrue="1" operator="lessThan">
      <formula>0</formula>
    </cfRule>
  </conditionalFormatting>
  <conditionalFormatting sqref="C109:D110">
    <cfRule type="cellIs" dxfId="44" priority="54" stopIfTrue="1" operator="lessThan">
      <formula>0</formula>
    </cfRule>
  </conditionalFormatting>
  <conditionalFormatting sqref="D4:D72">
    <cfRule type="cellIs" dxfId="43" priority="9" stopIfTrue="1" operator="lessThan">
      <formula>0</formula>
    </cfRule>
  </conditionalFormatting>
  <conditionalFormatting sqref="D74:D87">
    <cfRule type="cellIs" dxfId="42" priority="8" stopIfTrue="1" operator="lessThan">
      <formula>0</formula>
    </cfRule>
  </conditionalFormatting>
  <conditionalFormatting sqref="D89:D99">
    <cfRule type="cellIs" dxfId="41" priority="4" stopIfTrue="1" operator="lessThan">
      <formula>0</formula>
    </cfRule>
  </conditionalFormatting>
  <conditionalFormatting sqref="D73:G73 E74:G79">
    <cfRule type="cellIs" dxfId="40" priority="73" stopIfTrue="1" operator="lessThan">
      <formula>0</formula>
    </cfRule>
  </conditionalFormatting>
  <conditionalFormatting sqref="D100:G108">
    <cfRule type="cellIs" dxfId="39" priority="55" stopIfTrue="1" operator="lessThan">
      <formula>0</formula>
    </cfRule>
  </conditionalFormatting>
  <conditionalFormatting sqref="D111:G120">
    <cfRule type="cellIs" dxfId="38" priority="52" stopIfTrue="1" operator="lessThan">
      <formula>0</formula>
    </cfRule>
  </conditionalFormatting>
  <conditionalFormatting sqref="E24">
    <cfRule type="cellIs" dxfId="37" priority="79" stopIfTrue="1" operator="lessThan">
      <formula>0</formula>
    </cfRule>
  </conditionalFormatting>
  <conditionalFormatting sqref="E35:F39">
    <cfRule type="cellIs" dxfId="36" priority="43" stopIfTrue="1" operator="lessThan">
      <formula>0</formula>
    </cfRule>
  </conditionalFormatting>
  <conditionalFormatting sqref="E43:F44">
    <cfRule type="cellIs" dxfId="35" priority="17" stopIfTrue="1" operator="lessThan">
      <formula>0</formula>
    </cfRule>
  </conditionalFormatting>
  <conditionalFormatting sqref="E48:F48">
    <cfRule type="cellIs" dxfId="34" priority="39" stopIfTrue="1" operator="lessThan">
      <formula>0</formula>
    </cfRule>
  </conditionalFormatting>
  <conditionalFormatting sqref="E57:F62">
    <cfRule type="cellIs" dxfId="33" priority="13" stopIfTrue="1" operator="lessThan">
      <formula>0</formula>
    </cfRule>
  </conditionalFormatting>
  <conditionalFormatting sqref="E14:G14">
    <cfRule type="cellIs" dxfId="32" priority="289" stopIfTrue="1" operator="lessThan">
      <formula>0</formula>
    </cfRule>
  </conditionalFormatting>
  <conditionalFormatting sqref="E40:G42 G43:G49">
    <cfRule type="cellIs" dxfId="31" priority="41" stopIfTrue="1" operator="lessThan">
      <formula>0</formula>
    </cfRule>
  </conditionalFormatting>
  <conditionalFormatting sqref="E50:G51 G52:G54 E53:F54 F55:G55 G56 G58:G62">
    <cfRule type="cellIs" dxfId="30" priority="99" stopIfTrue="1" operator="lessThan">
      <formula>0</formula>
    </cfRule>
  </conditionalFormatting>
  <conditionalFormatting sqref="E66:G72">
    <cfRule type="cellIs" dxfId="29" priority="11" stopIfTrue="1" operator="lessThan">
      <formula>0</formula>
    </cfRule>
  </conditionalFormatting>
  <conditionalFormatting sqref="E81:G99">
    <cfRule type="cellIs" dxfId="28" priority="1" stopIfTrue="1" operator="lessThan">
      <formula>0</formula>
    </cfRule>
  </conditionalFormatting>
  <conditionalFormatting sqref="E3:H3 G109 E110:G110 D120:H120 E121:H185 D125">
    <cfRule type="cellIs" dxfId="27" priority="353" stopIfTrue="1" operator="lessThan">
      <formula>0</formula>
    </cfRule>
  </conditionalFormatting>
  <conditionalFormatting sqref="F25:G25">
    <cfRule type="cellIs" dxfId="26" priority="274" stopIfTrue="1" operator="lessThan">
      <formula>0</formula>
    </cfRule>
  </conditionalFormatting>
  <conditionalFormatting sqref="F63:G64">
    <cfRule type="cellIs" dxfId="25" priority="16" stopIfTrue="1" operator="lessThan">
      <formula>0</formula>
    </cfRule>
  </conditionalFormatting>
  <conditionalFormatting sqref="F80:G80">
    <cfRule type="cellIs" dxfId="24" priority="71" stopIfTrue="1" operator="lessThan">
      <formula>0</formula>
    </cfRule>
  </conditionalFormatting>
  <conditionalFormatting sqref="G4:G13 H4:H27 H29:H56 G57:H57 D65:G65 A103:C103 H58:H120">
    <cfRule type="cellIs" dxfId="23" priority="187" stopIfTrue="1" operator="lessThan">
      <formula>0</formula>
    </cfRule>
  </conditionalFormatting>
  <conditionalFormatting sqref="G15:G24">
    <cfRule type="cellIs" dxfId="22" priority="112" stopIfTrue="1" operator="lessThan">
      <formula>0</formula>
    </cfRule>
  </conditionalFormatting>
  <conditionalFormatting sqref="G26:G27">
    <cfRule type="cellIs" dxfId="21" priority="271" stopIfTrue="1" operator="lessThan">
      <formula>0</formula>
    </cfRule>
  </conditionalFormatting>
  <conditionalFormatting sqref="G29:G39">
    <cfRule type="cellIs" dxfId="20" priority="128" stopIfTrue="1" operator="lessThan">
      <formula>0</formula>
    </cfRule>
  </conditionalFormatting>
  <conditionalFormatting sqref="G28:H28">
    <cfRule type="cellIs" dxfId="19" priority="48" stopIfTrue="1" operator="lessThan">
      <formula>0</formula>
    </cfRule>
  </conditionalFormatting>
  <dataValidations count="1">
    <dataValidation type="list" allowBlank="1" showInputMessage="1" showErrorMessage="1" sqref="D3:D87 D89:D12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33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FF0000"/>
  </sheetPr>
  <dimension ref="A1:IL244"/>
  <sheetViews>
    <sheetView showGridLines="0" zoomScaleNormal="100" workbookViewId="0">
      <pane ySplit="2" topLeftCell="A3" activePane="bottomLeft" state="frozen"/>
      <selection pane="bottomLeft" activeCell="E140" sqref="E140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3" t="s">
        <v>2</v>
      </c>
      <c r="C1" s="82"/>
      <c r="D1" s="82"/>
      <c r="E1" s="84"/>
      <c r="F1" s="82"/>
      <c r="G1" s="82"/>
      <c r="H1" s="82"/>
      <c r="I1" s="82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hidden="1" customHeight="1" x14ac:dyDescent="0.3">
      <c r="A3" s="41"/>
      <c r="B3" s="14">
        <v>45659</v>
      </c>
      <c r="C3" s="48">
        <v>1</v>
      </c>
      <c r="D3" s="79" t="s">
        <v>43</v>
      </c>
      <c r="E3" s="21" t="s">
        <v>21</v>
      </c>
      <c r="F3" s="19"/>
      <c r="G3" s="19"/>
      <c r="H3" s="20"/>
      <c r="I3" s="20">
        <v>-167.43</v>
      </c>
      <c r="J3" s="4"/>
      <c r="K3" s="2"/>
      <c r="L3" s="3" t="s">
        <v>13</v>
      </c>
    </row>
    <row r="4" spans="1:12" ht="15" hidden="1" customHeight="1" x14ac:dyDescent="0.3">
      <c r="A4" s="41"/>
      <c r="B4" s="14">
        <v>45659</v>
      </c>
      <c r="C4" s="48">
        <v>2</v>
      </c>
      <c r="D4" s="79" t="s">
        <v>46</v>
      </c>
      <c r="E4" s="80" t="s">
        <v>21</v>
      </c>
      <c r="F4" s="19"/>
      <c r="G4" s="19">
        <v>-30.46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45659</v>
      </c>
      <c r="C5" s="48">
        <v>3</v>
      </c>
      <c r="D5" s="79" t="s">
        <v>48</v>
      </c>
      <c r="E5" s="80" t="s">
        <v>21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hidden="1" customHeight="1" x14ac:dyDescent="0.3">
      <c r="A6" s="41"/>
      <c r="B6" s="14">
        <v>45660</v>
      </c>
      <c r="C6" s="48">
        <v>4</v>
      </c>
      <c r="D6" s="79" t="s">
        <v>44</v>
      </c>
      <c r="E6" s="80" t="s">
        <v>21</v>
      </c>
      <c r="F6" s="19"/>
      <c r="G6" s="20">
        <v>-44</v>
      </c>
      <c r="H6" s="20"/>
      <c r="I6" s="20"/>
      <c r="J6" s="4"/>
      <c r="K6" s="2"/>
      <c r="L6" s="2" t="s">
        <v>19</v>
      </c>
    </row>
    <row r="7" spans="1:12" ht="15" hidden="1" customHeight="1" x14ac:dyDescent="0.3">
      <c r="A7" s="41"/>
      <c r="B7" s="14">
        <v>45660</v>
      </c>
      <c r="C7" s="48">
        <v>5</v>
      </c>
      <c r="D7" s="79" t="s">
        <v>44</v>
      </c>
      <c r="E7" s="80" t="s">
        <v>21</v>
      </c>
      <c r="F7" s="19"/>
      <c r="G7" s="20">
        <v>-139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45664</v>
      </c>
      <c r="C8" s="48">
        <v>6</v>
      </c>
      <c r="D8" s="79" t="s">
        <v>20</v>
      </c>
      <c r="E8" s="80" t="s">
        <v>21</v>
      </c>
      <c r="F8" s="19"/>
      <c r="G8" s="20">
        <v>-12</v>
      </c>
      <c r="H8" s="20"/>
      <c r="I8" s="20"/>
      <c r="J8" s="4"/>
      <c r="K8" s="2"/>
      <c r="L8" s="2" t="s">
        <v>21</v>
      </c>
    </row>
    <row r="9" spans="1:12" ht="15" hidden="1" customHeight="1" x14ac:dyDescent="0.3">
      <c r="A9" s="41"/>
      <c r="B9" s="14">
        <v>45667</v>
      </c>
      <c r="C9" s="48">
        <v>7</v>
      </c>
      <c r="D9" s="3" t="s">
        <v>45</v>
      </c>
      <c r="E9" s="80" t="s">
        <v>0</v>
      </c>
      <c r="F9" s="19"/>
      <c r="G9" s="20">
        <v>-31.64</v>
      </c>
      <c r="H9" s="20"/>
      <c r="I9" s="20"/>
      <c r="J9" s="4"/>
      <c r="K9" s="2"/>
      <c r="L9" s="2" t="s">
        <v>22</v>
      </c>
    </row>
    <row r="10" spans="1:12" ht="15" hidden="1" customHeight="1" x14ac:dyDescent="0.3">
      <c r="A10" s="41"/>
      <c r="B10" s="14">
        <v>45672</v>
      </c>
      <c r="C10" s="48">
        <v>8</v>
      </c>
      <c r="D10" s="3" t="s">
        <v>50</v>
      </c>
      <c r="E10" s="80" t="s">
        <v>21</v>
      </c>
      <c r="F10" s="19"/>
      <c r="G10" s="20">
        <v>-18.36</v>
      </c>
      <c r="H10" s="20"/>
      <c r="I10" s="20"/>
      <c r="J10" s="4"/>
      <c r="K10" s="2"/>
      <c r="L10" s="2" t="s">
        <v>23</v>
      </c>
    </row>
    <row r="11" spans="1:12" ht="15" hidden="1" customHeight="1" x14ac:dyDescent="0.3">
      <c r="A11" s="41"/>
      <c r="B11" s="14">
        <v>45680</v>
      </c>
      <c r="C11" s="48">
        <v>9</v>
      </c>
      <c r="D11" s="3" t="s">
        <v>51</v>
      </c>
      <c r="E11" s="80" t="s">
        <v>21</v>
      </c>
      <c r="F11" s="19"/>
      <c r="G11" s="20">
        <v>-12.99</v>
      </c>
      <c r="H11" s="20"/>
      <c r="I11" s="20"/>
      <c r="J11" s="4"/>
      <c r="K11" s="2"/>
      <c r="L11" s="2" t="s">
        <v>12</v>
      </c>
    </row>
    <row r="12" spans="1:12" ht="15" hidden="1" customHeight="1" x14ac:dyDescent="0.3">
      <c r="A12" s="41"/>
      <c r="B12" s="14">
        <v>45684</v>
      </c>
      <c r="C12" s="48">
        <v>10</v>
      </c>
      <c r="D12" s="3" t="s">
        <v>14</v>
      </c>
      <c r="E12" s="21" t="s">
        <v>14</v>
      </c>
      <c r="F12" s="19"/>
      <c r="G12" s="20">
        <v>-82.99</v>
      </c>
      <c r="H12" s="20"/>
      <c r="I12" s="20"/>
      <c r="J12" s="4"/>
      <c r="K12" s="2"/>
      <c r="L12" s="2" t="s">
        <v>24</v>
      </c>
    </row>
    <row r="13" spans="1:12" ht="15" hidden="1" customHeight="1" x14ac:dyDescent="0.3">
      <c r="A13" s="41"/>
      <c r="B13" s="14">
        <v>45688</v>
      </c>
      <c r="C13" s="48">
        <v>11</v>
      </c>
      <c r="D13" s="79" t="s">
        <v>52</v>
      </c>
      <c r="E13" s="80" t="s">
        <v>13</v>
      </c>
      <c r="F13" s="19"/>
      <c r="G13" s="19"/>
      <c r="H13" s="20"/>
      <c r="I13" s="20">
        <v>-1.6</v>
      </c>
      <c r="J13" s="4"/>
      <c r="K13" s="2"/>
      <c r="L13" s="2" t="s">
        <v>25</v>
      </c>
    </row>
    <row r="14" spans="1:12" ht="15" hidden="1" customHeight="1" x14ac:dyDescent="0.3">
      <c r="A14" s="41"/>
      <c r="B14" s="14">
        <v>45688</v>
      </c>
      <c r="C14" s="48">
        <v>12</v>
      </c>
      <c r="D14" s="79" t="s">
        <v>53</v>
      </c>
      <c r="E14" s="80" t="s">
        <v>21</v>
      </c>
      <c r="F14" s="19"/>
      <c r="G14" s="20">
        <v>-274.89</v>
      </c>
      <c r="H14" s="20"/>
      <c r="I14" s="20"/>
      <c r="J14" s="4"/>
      <c r="K14" s="2"/>
      <c r="L14" s="2" t="s">
        <v>26</v>
      </c>
    </row>
    <row r="15" spans="1:12" ht="15" hidden="1" customHeight="1" x14ac:dyDescent="0.3">
      <c r="A15" s="41"/>
      <c r="B15" s="14">
        <v>45688</v>
      </c>
      <c r="C15" s="48">
        <v>13</v>
      </c>
      <c r="D15" s="79" t="s">
        <v>45</v>
      </c>
      <c r="E15" s="80" t="s">
        <v>0</v>
      </c>
      <c r="F15" s="19"/>
      <c r="G15" s="20">
        <v>-6.31</v>
      </c>
      <c r="H15" s="20"/>
      <c r="I15" s="20"/>
      <c r="J15" s="4"/>
      <c r="K15" s="2"/>
      <c r="L15" s="2" t="s">
        <v>27</v>
      </c>
    </row>
    <row r="16" spans="1:12" ht="15" hidden="1" customHeight="1" x14ac:dyDescent="0.3">
      <c r="A16" s="41"/>
      <c r="B16" s="14">
        <v>45692</v>
      </c>
      <c r="C16" s="48">
        <v>14</v>
      </c>
      <c r="D16" s="79" t="s">
        <v>44</v>
      </c>
      <c r="E16" s="80" t="s">
        <v>21</v>
      </c>
      <c r="F16" s="19"/>
      <c r="G16" s="20">
        <v>-44</v>
      </c>
      <c r="H16" s="20"/>
      <c r="I16" s="20"/>
      <c r="J16" s="4"/>
      <c r="K16" s="2"/>
      <c r="L16" s="2" t="s">
        <v>28</v>
      </c>
    </row>
    <row r="17" spans="1:12" ht="15" hidden="1" customHeight="1" x14ac:dyDescent="0.3">
      <c r="A17" s="41"/>
      <c r="B17" s="14">
        <v>45692</v>
      </c>
      <c r="C17" s="48">
        <v>15</v>
      </c>
      <c r="D17" s="79" t="s">
        <v>44</v>
      </c>
      <c r="E17" s="80" t="s">
        <v>21</v>
      </c>
      <c r="F17" s="19"/>
      <c r="G17" s="20">
        <v>-139</v>
      </c>
      <c r="H17" s="20"/>
      <c r="I17" s="20"/>
      <c r="J17" s="4"/>
      <c r="K17" s="2"/>
      <c r="L17" s="2" t="s">
        <v>29</v>
      </c>
    </row>
    <row r="18" spans="1:12" ht="15" hidden="1" customHeight="1" x14ac:dyDescent="0.3">
      <c r="A18" s="41"/>
      <c r="B18" s="14">
        <v>45692</v>
      </c>
      <c r="C18" s="48">
        <v>16</v>
      </c>
      <c r="D18" s="3" t="s">
        <v>56</v>
      </c>
      <c r="E18" s="21" t="s">
        <v>12</v>
      </c>
      <c r="F18" s="19"/>
      <c r="G18" s="20">
        <v>-50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45693</v>
      </c>
      <c r="C19" s="48">
        <v>17</v>
      </c>
      <c r="D19" s="79" t="s">
        <v>20</v>
      </c>
      <c r="E19" s="80" t="s">
        <v>21</v>
      </c>
      <c r="F19" s="19"/>
      <c r="G19" s="20">
        <v>-12</v>
      </c>
      <c r="H19" s="20"/>
      <c r="I19" s="20"/>
      <c r="J19" s="4"/>
      <c r="K19" s="2"/>
      <c r="L19" s="2" t="s">
        <v>30</v>
      </c>
    </row>
    <row r="20" spans="1:12" ht="15" hidden="1" customHeight="1" x14ac:dyDescent="0.3">
      <c r="A20" s="41"/>
      <c r="B20" s="14">
        <v>45693</v>
      </c>
      <c r="C20" s="48">
        <v>18</v>
      </c>
      <c r="D20" s="3" t="s">
        <v>45</v>
      </c>
      <c r="E20" s="80" t="s">
        <v>0</v>
      </c>
      <c r="F20" s="19"/>
      <c r="G20" s="20">
        <v>-4.9000000000000004</v>
      </c>
      <c r="H20" s="20"/>
      <c r="I20" s="20"/>
      <c r="J20" s="4"/>
      <c r="K20" s="2"/>
      <c r="L20" s="2"/>
    </row>
    <row r="21" spans="1:12" ht="15" hidden="1" customHeight="1" x14ac:dyDescent="0.3">
      <c r="A21" s="41"/>
      <c r="B21" s="14">
        <v>45705</v>
      </c>
      <c r="C21" s="48">
        <v>19</v>
      </c>
      <c r="D21" s="3" t="s">
        <v>45</v>
      </c>
      <c r="E21" s="80" t="s">
        <v>0</v>
      </c>
      <c r="F21" s="19"/>
      <c r="G21" s="20">
        <v>-46.34</v>
      </c>
      <c r="H21" s="20"/>
      <c r="I21" s="20"/>
      <c r="J21" s="4"/>
      <c r="K21" s="2"/>
      <c r="L21" s="2"/>
    </row>
    <row r="22" spans="1:12" ht="15" hidden="1" customHeight="1" x14ac:dyDescent="0.3">
      <c r="A22" s="41"/>
      <c r="B22" s="14">
        <v>45705</v>
      </c>
      <c r="C22" s="48">
        <v>20</v>
      </c>
      <c r="D22" s="3" t="s">
        <v>57</v>
      </c>
      <c r="E22" s="80" t="s">
        <v>13</v>
      </c>
      <c r="F22" s="19"/>
      <c r="G22" s="20">
        <v>-20</v>
      </c>
      <c r="H22" s="20"/>
      <c r="I22" s="20"/>
      <c r="J22" s="4"/>
      <c r="K22" s="2"/>
      <c r="L22" s="2"/>
    </row>
    <row r="23" spans="1:12" ht="15" hidden="1" customHeight="1" x14ac:dyDescent="0.3">
      <c r="A23" s="41"/>
      <c r="B23" s="14">
        <v>45708</v>
      </c>
      <c r="C23" s="48">
        <v>21</v>
      </c>
      <c r="D23" s="3" t="s">
        <v>45</v>
      </c>
      <c r="E23" s="80" t="s">
        <v>0</v>
      </c>
      <c r="F23" s="19"/>
      <c r="G23" s="20">
        <v>-36.94</v>
      </c>
      <c r="H23" s="20"/>
      <c r="I23" s="20"/>
      <c r="J23" s="4"/>
      <c r="K23" s="2"/>
      <c r="L23" s="2"/>
    </row>
    <row r="24" spans="1:12" ht="15" hidden="1" customHeight="1" x14ac:dyDescent="0.3">
      <c r="A24" s="41"/>
      <c r="B24" s="14">
        <v>45709</v>
      </c>
      <c r="C24" s="48">
        <v>22</v>
      </c>
      <c r="D24" s="3" t="s">
        <v>51</v>
      </c>
      <c r="E24" s="80" t="s">
        <v>21</v>
      </c>
      <c r="F24" s="19"/>
      <c r="G24" s="20">
        <v>-12.99</v>
      </c>
      <c r="H24" s="20"/>
      <c r="I24" s="20"/>
      <c r="J24" s="4"/>
      <c r="K24" s="2"/>
      <c r="L24" s="2"/>
    </row>
    <row r="25" spans="1:12" ht="15" hidden="1" customHeight="1" x14ac:dyDescent="0.3">
      <c r="A25" s="41"/>
      <c r="B25" s="14">
        <v>45712</v>
      </c>
      <c r="C25" s="48">
        <v>23</v>
      </c>
      <c r="D25" s="79" t="s">
        <v>59</v>
      </c>
      <c r="E25" s="80" t="s">
        <v>13</v>
      </c>
      <c r="F25" s="19"/>
      <c r="G25" s="20">
        <v>-18.079999999999998</v>
      </c>
      <c r="H25" s="20"/>
      <c r="I25" s="20"/>
      <c r="J25" s="4"/>
      <c r="K25" s="2"/>
      <c r="L25" s="2"/>
    </row>
    <row r="26" spans="1:12" ht="15" hidden="1" customHeight="1" x14ac:dyDescent="0.3">
      <c r="A26" s="41"/>
      <c r="B26" s="14">
        <v>45713</v>
      </c>
      <c r="C26" s="48">
        <v>24</v>
      </c>
      <c r="D26" s="79" t="s">
        <v>59</v>
      </c>
      <c r="E26" s="80" t="s">
        <v>13</v>
      </c>
      <c r="F26" s="19"/>
      <c r="G26" s="20">
        <v>-342</v>
      </c>
      <c r="H26" s="20"/>
      <c r="I26" s="20"/>
      <c r="J26" s="4"/>
      <c r="K26" s="2"/>
      <c r="L26" s="2"/>
    </row>
    <row r="27" spans="1:12" ht="15" hidden="1" customHeight="1" x14ac:dyDescent="0.3">
      <c r="A27" s="41"/>
      <c r="B27" s="14">
        <v>45714</v>
      </c>
      <c r="C27" s="48">
        <v>25</v>
      </c>
      <c r="D27" s="3" t="s">
        <v>62</v>
      </c>
      <c r="E27" s="80" t="s">
        <v>22</v>
      </c>
      <c r="F27" s="19"/>
      <c r="G27" s="20">
        <v>-88.5</v>
      </c>
      <c r="H27" s="20"/>
      <c r="I27" s="20"/>
      <c r="J27" s="4"/>
      <c r="K27" s="2"/>
      <c r="L27" s="2"/>
    </row>
    <row r="28" spans="1:12" ht="15" hidden="1" customHeight="1" x14ac:dyDescent="0.3">
      <c r="A28" s="41"/>
      <c r="B28" s="14">
        <v>45715</v>
      </c>
      <c r="C28" s="48">
        <v>26</v>
      </c>
      <c r="D28" s="3" t="s">
        <v>63</v>
      </c>
      <c r="E28" s="80" t="s">
        <v>13</v>
      </c>
      <c r="F28" s="19"/>
      <c r="G28" s="20">
        <v>-317.63</v>
      </c>
      <c r="H28" s="20"/>
      <c r="I28" s="20"/>
      <c r="J28" s="4"/>
      <c r="K28" s="2"/>
      <c r="L28" s="2"/>
    </row>
    <row r="29" spans="1:12" ht="15" hidden="1" customHeight="1" x14ac:dyDescent="0.3">
      <c r="A29" s="41"/>
      <c r="B29" s="14">
        <v>45719</v>
      </c>
      <c r="C29" s="48">
        <v>27</v>
      </c>
      <c r="D29" s="3" t="s">
        <v>64</v>
      </c>
      <c r="E29" s="21" t="s">
        <v>14</v>
      </c>
      <c r="F29" s="19"/>
      <c r="G29" s="20">
        <v>-42.98</v>
      </c>
      <c r="H29" s="20"/>
      <c r="I29" s="20"/>
      <c r="J29" s="4"/>
      <c r="K29" s="2"/>
      <c r="L29" s="2"/>
    </row>
    <row r="30" spans="1:12" ht="15" hidden="1" customHeight="1" x14ac:dyDescent="0.3">
      <c r="A30" s="41"/>
      <c r="B30" s="14">
        <v>45719</v>
      </c>
      <c r="C30" s="48">
        <v>28</v>
      </c>
      <c r="D30" s="3" t="s">
        <v>65</v>
      </c>
      <c r="E30" s="21" t="s">
        <v>14</v>
      </c>
      <c r="F30" s="19"/>
      <c r="G30" s="20">
        <v>-80</v>
      </c>
      <c r="H30" s="20"/>
      <c r="I30" s="20"/>
      <c r="J30" s="4"/>
      <c r="K30" s="2"/>
      <c r="L30" s="2"/>
    </row>
    <row r="31" spans="1:12" ht="15" hidden="1" customHeight="1" x14ac:dyDescent="0.3">
      <c r="A31" s="41"/>
      <c r="B31" s="14">
        <v>45720</v>
      </c>
      <c r="C31" s="48">
        <v>29</v>
      </c>
      <c r="D31" s="79" t="s">
        <v>44</v>
      </c>
      <c r="E31" s="80" t="s">
        <v>21</v>
      </c>
      <c r="F31" s="19"/>
      <c r="G31" s="20">
        <v>-44</v>
      </c>
      <c r="H31" s="20"/>
      <c r="I31" s="20"/>
      <c r="J31" s="4"/>
      <c r="K31" s="2"/>
      <c r="L31" s="2"/>
    </row>
    <row r="32" spans="1:12" ht="15" hidden="1" customHeight="1" x14ac:dyDescent="0.3">
      <c r="A32" s="41"/>
      <c r="B32" s="14">
        <v>45720</v>
      </c>
      <c r="C32" s="48">
        <v>30</v>
      </c>
      <c r="D32" s="79" t="s">
        <v>67</v>
      </c>
      <c r="E32" s="21" t="s">
        <v>14</v>
      </c>
      <c r="F32" s="19"/>
      <c r="G32" s="20">
        <v>-48.8</v>
      </c>
      <c r="H32" s="20"/>
      <c r="I32" s="20"/>
      <c r="J32" s="4"/>
      <c r="K32" s="2"/>
      <c r="L32" s="2"/>
    </row>
    <row r="33" spans="1:12" ht="15" hidden="1" customHeight="1" x14ac:dyDescent="0.3">
      <c r="A33" s="41"/>
      <c r="B33" s="14">
        <v>45721</v>
      </c>
      <c r="C33" s="48">
        <v>31</v>
      </c>
      <c r="D33" s="3" t="s">
        <v>68</v>
      </c>
      <c r="E33" s="80" t="s">
        <v>0</v>
      </c>
      <c r="F33" s="19"/>
      <c r="G33" s="20">
        <v>-11.64</v>
      </c>
      <c r="H33" s="20"/>
      <c r="I33" s="20"/>
      <c r="J33" s="4"/>
      <c r="K33" s="2"/>
      <c r="L33" s="2"/>
    </row>
    <row r="34" spans="1:12" ht="15" hidden="1" customHeight="1" x14ac:dyDescent="0.3">
      <c r="A34" s="41"/>
      <c r="B34" s="14">
        <v>45721</v>
      </c>
      <c r="C34" s="48">
        <v>32</v>
      </c>
      <c r="D34" s="3" t="s">
        <v>68</v>
      </c>
      <c r="E34" s="80" t="s">
        <v>0</v>
      </c>
      <c r="F34" s="19"/>
      <c r="G34" s="20">
        <v>-25.02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45722</v>
      </c>
      <c r="C35" s="48">
        <v>33</v>
      </c>
      <c r="D35" s="79" t="s">
        <v>20</v>
      </c>
      <c r="E35" s="80" t="s">
        <v>21</v>
      </c>
      <c r="F35" s="19"/>
      <c r="G35" s="20">
        <v>-12</v>
      </c>
      <c r="H35" s="20"/>
      <c r="I35" s="20"/>
      <c r="J35" s="4"/>
      <c r="K35" s="2"/>
      <c r="L35" s="2"/>
    </row>
    <row r="36" spans="1:12" ht="15" hidden="1" customHeight="1" x14ac:dyDescent="0.3">
      <c r="A36" s="41"/>
      <c r="B36" s="14">
        <v>45734</v>
      </c>
      <c r="C36" s="48">
        <v>34</v>
      </c>
      <c r="D36" s="79" t="s">
        <v>70</v>
      </c>
      <c r="E36" s="80" t="s">
        <v>21</v>
      </c>
      <c r="F36" s="19"/>
      <c r="G36" s="20">
        <v>-72.87</v>
      </c>
      <c r="H36" s="20"/>
      <c r="I36" s="20"/>
      <c r="J36" s="4"/>
      <c r="K36" s="2"/>
      <c r="L36" s="2"/>
    </row>
    <row r="37" spans="1:12" ht="15" hidden="1" customHeight="1" x14ac:dyDescent="0.3">
      <c r="A37" s="41"/>
      <c r="B37" s="14">
        <v>45734</v>
      </c>
      <c r="C37" s="48">
        <v>35</v>
      </c>
      <c r="D37" s="3" t="s">
        <v>68</v>
      </c>
      <c r="E37" s="80" t="s">
        <v>0</v>
      </c>
      <c r="F37" s="19"/>
      <c r="G37" s="20">
        <v>-18.190000000000001</v>
      </c>
      <c r="H37" s="20"/>
      <c r="I37" s="20"/>
      <c r="J37" s="4"/>
      <c r="K37" s="2"/>
      <c r="L37" s="2"/>
    </row>
    <row r="38" spans="1:12" ht="15" hidden="1" customHeight="1" x14ac:dyDescent="0.3">
      <c r="A38" s="41"/>
      <c r="B38" s="14">
        <v>45736</v>
      </c>
      <c r="C38" s="48">
        <v>36</v>
      </c>
      <c r="D38" s="3" t="s">
        <v>68</v>
      </c>
      <c r="E38" s="80" t="s">
        <v>0</v>
      </c>
      <c r="F38" s="19"/>
      <c r="G38" s="20">
        <v>-15.65</v>
      </c>
      <c r="H38" s="20"/>
      <c r="I38" s="20"/>
      <c r="J38" s="4"/>
      <c r="K38" s="2"/>
      <c r="L38" s="2"/>
    </row>
    <row r="39" spans="1:12" ht="15" hidden="1" customHeight="1" x14ac:dyDescent="0.3">
      <c r="A39" s="41"/>
      <c r="B39" s="14">
        <v>45737</v>
      </c>
      <c r="C39" s="48">
        <v>37</v>
      </c>
      <c r="D39" s="3" t="s">
        <v>51</v>
      </c>
      <c r="E39" s="80" t="s">
        <v>21</v>
      </c>
      <c r="F39" s="19"/>
      <c r="G39" s="20">
        <v>-12.99</v>
      </c>
      <c r="H39" s="20"/>
      <c r="I39" s="20"/>
      <c r="J39" s="4"/>
      <c r="K39" s="2"/>
      <c r="L39" s="2"/>
    </row>
    <row r="40" spans="1:12" ht="15" hidden="1" customHeight="1" x14ac:dyDescent="0.3">
      <c r="A40" s="41"/>
      <c r="B40" s="14">
        <v>45740</v>
      </c>
      <c r="C40" s="48">
        <v>38</v>
      </c>
      <c r="D40" s="3" t="s">
        <v>68</v>
      </c>
      <c r="E40" s="80" t="s">
        <v>0</v>
      </c>
      <c r="F40" s="19"/>
      <c r="G40" s="20">
        <v>-29.72</v>
      </c>
      <c r="H40" s="20"/>
      <c r="I40" s="20"/>
      <c r="J40" s="4"/>
      <c r="K40" s="2"/>
      <c r="L40" s="2"/>
    </row>
    <row r="41" spans="1:12" ht="15" hidden="1" customHeight="1" x14ac:dyDescent="0.3">
      <c r="A41" s="41"/>
      <c r="B41" s="14">
        <v>45740</v>
      </c>
      <c r="C41" s="48">
        <v>39</v>
      </c>
      <c r="D41" s="3" t="s">
        <v>72</v>
      </c>
      <c r="E41" s="80" t="s">
        <v>22</v>
      </c>
      <c r="F41" s="19"/>
      <c r="G41" s="20">
        <v>-135</v>
      </c>
      <c r="H41" s="20"/>
      <c r="I41" s="20"/>
      <c r="J41" s="4"/>
      <c r="K41" s="2"/>
      <c r="L41" s="2"/>
    </row>
    <row r="42" spans="1:12" ht="15" hidden="1" customHeight="1" x14ac:dyDescent="0.3">
      <c r="A42" s="41"/>
      <c r="B42" s="14">
        <v>45741</v>
      </c>
      <c r="C42" s="48">
        <v>40</v>
      </c>
      <c r="D42" s="3" t="s">
        <v>73</v>
      </c>
      <c r="E42" s="80" t="s">
        <v>13</v>
      </c>
      <c r="F42" s="19"/>
      <c r="G42" s="20">
        <v>-21.8</v>
      </c>
      <c r="H42" s="20"/>
      <c r="I42" s="20"/>
      <c r="J42" s="4"/>
      <c r="K42" s="2"/>
      <c r="L42" s="2"/>
    </row>
    <row r="43" spans="1:12" ht="15" hidden="1" customHeight="1" x14ac:dyDescent="0.3">
      <c r="A43" s="41"/>
      <c r="B43" s="14">
        <v>45744</v>
      </c>
      <c r="C43" s="48">
        <v>41</v>
      </c>
      <c r="D43" s="3" t="s">
        <v>74</v>
      </c>
      <c r="E43" s="80" t="s">
        <v>13</v>
      </c>
      <c r="F43" s="19"/>
      <c r="G43" s="20">
        <v>-144.1</v>
      </c>
      <c r="H43" s="20"/>
      <c r="I43" s="20"/>
      <c r="J43" s="4"/>
      <c r="K43" s="2"/>
      <c r="L43" s="2"/>
    </row>
    <row r="44" spans="1:12" ht="15" hidden="1" customHeight="1" x14ac:dyDescent="0.3">
      <c r="A44" s="41"/>
      <c r="B44" s="14">
        <v>45747</v>
      </c>
      <c r="C44" s="48">
        <v>42</v>
      </c>
      <c r="D44" s="3" t="s">
        <v>75</v>
      </c>
      <c r="E44" s="80" t="s">
        <v>13</v>
      </c>
      <c r="F44" s="19"/>
      <c r="G44" s="20">
        <v>-60</v>
      </c>
      <c r="H44" s="20"/>
      <c r="I44" s="20"/>
      <c r="J44" s="4"/>
      <c r="K44" s="2"/>
      <c r="L44" s="2"/>
    </row>
    <row r="45" spans="1:12" ht="15" hidden="1" customHeight="1" x14ac:dyDescent="0.3">
      <c r="A45" s="41"/>
      <c r="B45" s="14">
        <v>45747</v>
      </c>
      <c r="C45" s="48">
        <v>43</v>
      </c>
      <c r="D45" s="3" t="s">
        <v>46</v>
      </c>
      <c r="E45" s="80" t="s">
        <v>21</v>
      </c>
      <c r="F45" s="19"/>
      <c r="G45" s="20">
        <v>-30.85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45748</v>
      </c>
      <c r="C46" s="48">
        <v>44</v>
      </c>
      <c r="D46" s="79" t="s">
        <v>20</v>
      </c>
      <c r="E46" s="80" t="s">
        <v>21</v>
      </c>
      <c r="F46" s="19"/>
      <c r="G46" s="20">
        <v>-12</v>
      </c>
      <c r="H46" s="20"/>
      <c r="I46" s="20"/>
      <c r="J46" s="4"/>
      <c r="K46" s="2"/>
      <c r="L46" s="2"/>
    </row>
    <row r="47" spans="1:12" ht="15" hidden="1" customHeight="1" x14ac:dyDescent="0.3">
      <c r="A47" s="41"/>
      <c r="B47" s="14">
        <v>45749</v>
      </c>
      <c r="C47" s="48">
        <v>45</v>
      </c>
      <c r="D47" s="3" t="s">
        <v>44</v>
      </c>
      <c r="E47" s="80" t="s">
        <v>21</v>
      </c>
      <c r="F47" s="19"/>
      <c r="G47" s="20">
        <v>-112</v>
      </c>
      <c r="H47" s="20"/>
      <c r="I47" s="20"/>
      <c r="J47" s="4"/>
      <c r="K47" s="2"/>
      <c r="L47" s="2"/>
    </row>
    <row r="48" spans="1:12" ht="15" hidden="1" customHeight="1" x14ac:dyDescent="0.3">
      <c r="A48" s="41"/>
      <c r="B48" s="14">
        <v>45749</v>
      </c>
      <c r="C48" s="48">
        <v>46</v>
      </c>
      <c r="D48" s="3" t="s">
        <v>44</v>
      </c>
      <c r="E48" s="80" t="s">
        <v>21</v>
      </c>
      <c r="F48" s="19"/>
      <c r="G48" s="20">
        <v>-52</v>
      </c>
      <c r="H48" s="20"/>
      <c r="I48" s="20"/>
      <c r="J48" s="4"/>
      <c r="K48" s="2"/>
      <c r="L48" s="2"/>
    </row>
    <row r="49" spans="1:12" ht="15" hidden="1" customHeight="1" x14ac:dyDescent="0.3">
      <c r="A49" s="41"/>
      <c r="B49" s="14">
        <v>45750</v>
      </c>
      <c r="C49" s="48">
        <v>47</v>
      </c>
      <c r="D49" s="3" t="s">
        <v>68</v>
      </c>
      <c r="E49" s="80" t="s">
        <v>0</v>
      </c>
      <c r="F49" s="19"/>
      <c r="G49" s="20">
        <v>-28.4</v>
      </c>
      <c r="H49" s="20"/>
      <c r="I49" s="20"/>
      <c r="J49" s="4"/>
      <c r="K49" s="2"/>
      <c r="L49" s="2"/>
    </row>
    <row r="50" spans="1:12" ht="15" hidden="1" customHeight="1" x14ac:dyDescent="0.3">
      <c r="A50" s="41"/>
      <c r="B50" s="14">
        <v>45761</v>
      </c>
      <c r="C50" s="48">
        <v>48</v>
      </c>
      <c r="D50" s="3" t="s">
        <v>68</v>
      </c>
      <c r="E50" s="80" t="s">
        <v>0</v>
      </c>
      <c r="F50" s="19"/>
      <c r="G50" s="20">
        <v>-16</v>
      </c>
      <c r="H50" s="20"/>
      <c r="I50" s="20"/>
      <c r="J50" s="4"/>
      <c r="K50" s="2"/>
      <c r="L50" s="2"/>
    </row>
    <row r="51" spans="1:12" ht="15" hidden="1" customHeight="1" x14ac:dyDescent="0.3">
      <c r="A51" s="41"/>
      <c r="B51" s="14">
        <v>45760</v>
      </c>
      <c r="C51" s="48">
        <v>49</v>
      </c>
      <c r="D51" s="3" t="s">
        <v>81</v>
      </c>
      <c r="E51" s="80" t="s">
        <v>0</v>
      </c>
      <c r="F51" s="19">
        <v>-300</v>
      </c>
      <c r="G51" s="20"/>
      <c r="H51" s="20"/>
      <c r="I51" s="20"/>
      <c r="J51" s="4"/>
      <c r="K51" s="2"/>
      <c r="L51" s="2"/>
    </row>
    <row r="52" spans="1:12" ht="15" hidden="1" customHeight="1" x14ac:dyDescent="0.3">
      <c r="A52" s="41"/>
      <c r="B52" s="14">
        <v>45761</v>
      </c>
      <c r="C52" s="48">
        <v>50</v>
      </c>
      <c r="D52" s="37" t="s">
        <v>82</v>
      </c>
      <c r="E52" s="18" t="s">
        <v>27</v>
      </c>
      <c r="F52" s="19">
        <v>-805</v>
      </c>
      <c r="G52" s="20"/>
      <c r="H52" s="20"/>
      <c r="I52" s="20"/>
      <c r="J52" s="4"/>
      <c r="K52" s="2"/>
      <c r="L52" s="2"/>
    </row>
    <row r="53" spans="1:12" ht="15" hidden="1" customHeight="1" x14ac:dyDescent="0.3">
      <c r="A53" s="41"/>
      <c r="B53" s="14">
        <v>45761</v>
      </c>
      <c r="C53" s="48">
        <v>51</v>
      </c>
      <c r="D53" s="3" t="s">
        <v>68</v>
      </c>
      <c r="E53" s="80" t="s">
        <v>0</v>
      </c>
      <c r="F53" s="19"/>
      <c r="G53" s="20">
        <v>-18.66</v>
      </c>
      <c r="H53" s="20"/>
      <c r="I53" s="20"/>
      <c r="J53" s="4"/>
      <c r="K53" s="2"/>
      <c r="L53" s="2"/>
    </row>
    <row r="54" spans="1:12" ht="15" hidden="1" customHeight="1" x14ac:dyDescent="0.3">
      <c r="A54" s="41"/>
      <c r="B54" s="14">
        <v>45762</v>
      </c>
      <c r="C54" s="48">
        <v>52</v>
      </c>
      <c r="D54" s="3" t="s">
        <v>50</v>
      </c>
      <c r="E54" s="21" t="s">
        <v>21</v>
      </c>
      <c r="F54" s="19"/>
      <c r="G54" s="20">
        <v>-18.36</v>
      </c>
      <c r="H54" s="20"/>
      <c r="I54" s="20"/>
      <c r="J54" s="4"/>
      <c r="K54" s="2"/>
      <c r="L54" s="2"/>
    </row>
    <row r="55" spans="1:12" ht="15" hidden="1" customHeight="1" x14ac:dyDescent="0.3">
      <c r="A55" s="41"/>
      <c r="B55" s="14">
        <v>45769</v>
      </c>
      <c r="C55" s="48">
        <v>53</v>
      </c>
      <c r="D55" s="3" t="s">
        <v>83</v>
      </c>
      <c r="E55" s="80" t="s">
        <v>13</v>
      </c>
      <c r="F55" s="19"/>
      <c r="G55" s="20">
        <v>-238</v>
      </c>
      <c r="H55" s="20"/>
      <c r="I55" s="20"/>
      <c r="J55" s="4"/>
      <c r="K55" s="2"/>
      <c r="L55" s="2"/>
    </row>
    <row r="56" spans="1:12" ht="15" hidden="1" customHeight="1" x14ac:dyDescent="0.3">
      <c r="A56" s="41"/>
      <c r="B56" s="14">
        <v>45770</v>
      </c>
      <c r="C56" s="48">
        <v>54</v>
      </c>
      <c r="D56" s="3" t="s">
        <v>68</v>
      </c>
      <c r="E56" s="80" t="s">
        <v>0</v>
      </c>
      <c r="F56" s="19"/>
      <c r="G56" s="20">
        <v>-8</v>
      </c>
      <c r="H56" s="20"/>
      <c r="I56" s="20"/>
      <c r="J56" s="4"/>
      <c r="K56" s="2"/>
      <c r="L56" s="2"/>
    </row>
    <row r="57" spans="1:12" ht="15" hidden="1" customHeight="1" x14ac:dyDescent="0.3">
      <c r="A57" s="41"/>
      <c r="B57" s="14">
        <v>45770</v>
      </c>
      <c r="C57" s="48">
        <v>55</v>
      </c>
      <c r="D57" s="3" t="s">
        <v>51</v>
      </c>
      <c r="E57" s="80" t="s">
        <v>21</v>
      </c>
      <c r="F57" s="19"/>
      <c r="G57" s="20">
        <v>-12.99</v>
      </c>
      <c r="H57" s="20"/>
      <c r="I57" s="20"/>
      <c r="J57" s="4"/>
      <c r="K57" s="2"/>
      <c r="L57" s="2"/>
    </row>
    <row r="58" spans="1:12" ht="15" hidden="1" customHeight="1" x14ac:dyDescent="0.3">
      <c r="A58" s="41"/>
      <c r="B58" s="14">
        <v>45775</v>
      </c>
      <c r="C58" s="48">
        <v>56</v>
      </c>
      <c r="D58" s="3" t="s">
        <v>84</v>
      </c>
      <c r="E58" s="80" t="s">
        <v>0</v>
      </c>
      <c r="F58" s="19"/>
      <c r="G58" s="20">
        <v>-153.13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45414</v>
      </c>
      <c r="C59" s="48">
        <v>57</v>
      </c>
      <c r="D59" s="79" t="s">
        <v>20</v>
      </c>
      <c r="E59" s="80" t="s">
        <v>21</v>
      </c>
      <c r="F59" s="19"/>
      <c r="G59" s="20">
        <v>-12</v>
      </c>
      <c r="H59" s="20"/>
      <c r="I59" s="20"/>
      <c r="J59" s="4"/>
      <c r="K59" s="2"/>
      <c r="L59" s="2"/>
    </row>
    <row r="60" spans="1:12" ht="15" hidden="1" customHeight="1" x14ac:dyDescent="0.3">
      <c r="A60" s="41"/>
      <c r="B60" s="14">
        <v>45418</v>
      </c>
      <c r="C60" s="48">
        <v>58</v>
      </c>
      <c r="D60" s="3" t="s">
        <v>44</v>
      </c>
      <c r="E60" s="80" t="s">
        <v>21</v>
      </c>
      <c r="F60" s="19"/>
      <c r="G60" s="20">
        <v>-112</v>
      </c>
      <c r="H60" s="20"/>
      <c r="I60" s="20"/>
      <c r="J60" s="4"/>
      <c r="K60" s="2"/>
      <c r="L60" s="2"/>
    </row>
    <row r="61" spans="1:12" ht="15" hidden="1" customHeight="1" x14ac:dyDescent="0.3">
      <c r="A61" s="41"/>
      <c r="B61" s="14">
        <v>45418</v>
      </c>
      <c r="C61" s="48">
        <v>59</v>
      </c>
      <c r="D61" s="3" t="s">
        <v>44</v>
      </c>
      <c r="E61" s="80" t="s">
        <v>21</v>
      </c>
      <c r="F61" s="19"/>
      <c r="G61" s="20">
        <v>-52</v>
      </c>
      <c r="H61" s="20"/>
      <c r="I61" s="20"/>
      <c r="J61" s="4"/>
      <c r="K61" s="2"/>
      <c r="L61" s="2"/>
    </row>
    <row r="62" spans="1:12" ht="15" hidden="1" customHeight="1" x14ac:dyDescent="0.3">
      <c r="A62" s="41"/>
      <c r="B62" s="14">
        <v>45789</v>
      </c>
      <c r="C62" s="48">
        <v>60</v>
      </c>
      <c r="D62" s="3" t="s">
        <v>68</v>
      </c>
      <c r="E62" s="80" t="s">
        <v>0</v>
      </c>
      <c r="F62" s="16"/>
      <c r="G62" s="20">
        <v>-44.28</v>
      </c>
      <c r="H62" s="20"/>
      <c r="I62" s="20"/>
      <c r="J62" s="4"/>
      <c r="K62" s="2"/>
      <c r="L62" s="2"/>
    </row>
    <row r="63" spans="1:12" ht="15" hidden="1" customHeight="1" x14ac:dyDescent="0.3">
      <c r="A63" s="41"/>
      <c r="B63" s="14">
        <v>45791</v>
      </c>
      <c r="C63" s="48">
        <v>61</v>
      </c>
      <c r="D63" s="3" t="s">
        <v>68</v>
      </c>
      <c r="E63" s="80" t="s">
        <v>0</v>
      </c>
      <c r="F63" s="16"/>
      <c r="G63" s="20">
        <v>-25.94</v>
      </c>
      <c r="H63" s="20"/>
      <c r="I63" s="20"/>
      <c r="J63" s="4"/>
      <c r="K63" s="2"/>
      <c r="L63" s="2"/>
    </row>
    <row r="64" spans="1:12" ht="15" hidden="1" customHeight="1" x14ac:dyDescent="0.3">
      <c r="A64" s="41"/>
      <c r="B64" s="14">
        <v>45799</v>
      </c>
      <c r="C64" s="48">
        <v>62</v>
      </c>
      <c r="D64" s="3" t="s">
        <v>51</v>
      </c>
      <c r="E64" s="80" t="s">
        <v>21</v>
      </c>
      <c r="F64" s="19"/>
      <c r="G64" s="20">
        <v>-12.99</v>
      </c>
      <c r="H64" s="20"/>
      <c r="I64" s="20"/>
      <c r="J64" s="4"/>
      <c r="K64" s="2"/>
      <c r="L64" s="2"/>
    </row>
    <row r="65" spans="1:12" ht="15" hidden="1" customHeight="1" x14ac:dyDescent="0.3">
      <c r="A65" s="41"/>
      <c r="B65" s="14">
        <v>45799</v>
      </c>
      <c r="C65" s="48">
        <v>63</v>
      </c>
      <c r="D65" s="3" t="s">
        <v>93</v>
      </c>
      <c r="E65" s="21" t="s">
        <v>14</v>
      </c>
      <c r="F65" s="19"/>
      <c r="G65" s="20">
        <v>-88.47</v>
      </c>
      <c r="H65" s="20"/>
      <c r="I65" s="20"/>
      <c r="J65" s="4"/>
      <c r="K65" s="2"/>
      <c r="L65" s="2"/>
    </row>
    <row r="66" spans="1:12" ht="15" hidden="1" customHeight="1" x14ac:dyDescent="0.3">
      <c r="A66" s="41"/>
      <c r="B66" s="14">
        <v>45803</v>
      </c>
      <c r="C66" s="48">
        <v>64</v>
      </c>
      <c r="D66" s="3" t="s">
        <v>94</v>
      </c>
      <c r="E66" s="80" t="s">
        <v>0</v>
      </c>
      <c r="F66" s="16"/>
      <c r="G66" s="20">
        <v>-55.38</v>
      </c>
      <c r="H66" s="20"/>
      <c r="I66" s="20"/>
      <c r="J66" s="4"/>
      <c r="K66" s="2"/>
      <c r="L66" s="2"/>
    </row>
    <row r="67" spans="1:12" ht="15" hidden="1" customHeight="1" x14ac:dyDescent="0.3">
      <c r="A67" s="41"/>
      <c r="B67" s="14">
        <v>45803</v>
      </c>
      <c r="C67" s="48">
        <v>65</v>
      </c>
      <c r="D67" s="3" t="s">
        <v>45</v>
      </c>
      <c r="E67" s="80" t="s">
        <v>0</v>
      </c>
      <c r="F67" s="16"/>
      <c r="G67" s="20">
        <v>-41.42</v>
      </c>
      <c r="H67" s="20"/>
      <c r="I67" s="20"/>
      <c r="J67" s="4"/>
      <c r="K67" s="2"/>
      <c r="L67" s="2"/>
    </row>
    <row r="68" spans="1:12" ht="15" hidden="1" customHeight="1" x14ac:dyDescent="0.3">
      <c r="A68" s="41"/>
      <c r="B68" s="14">
        <v>45803</v>
      </c>
      <c r="C68" s="48">
        <v>66</v>
      </c>
      <c r="D68" s="79" t="s">
        <v>98</v>
      </c>
      <c r="E68" s="80" t="s">
        <v>0</v>
      </c>
      <c r="F68" s="19"/>
      <c r="G68" s="19">
        <v>-10</v>
      </c>
      <c r="H68" s="20"/>
      <c r="I68" s="20"/>
      <c r="J68" s="4"/>
      <c r="K68" s="2"/>
      <c r="L68" s="2"/>
    </row>
    <row r="69" spans="1:12" ht="15" hidden="1" customHeight="1" x14ac:dyDescent="0.3">
      <c r="A69" s="41"/>
      <c r="B69" s="14">
        <v>45805</v>
      </c>
      <c r="C69" s="48">
        <v>67</v>
      </c>
      <c r="D69" s="79" t="s">
        <v>45</v>
      </c>
      <c r="E69" s="80" t="s">
        <v>0</v>
      </c>
      <c r="F69" s="19"/>
      <c r="G69" s="20">
        <v>-5</v>
      </c>
      <c r="H69" s="20"/>
      <c r="I69" s="20"/>
      <c r="J69" s="4"/>
      <c r="K69" s="2"/>
      <c r="L69" s="2"/>
    </row>
    <row r="70" spans="1:12" ht="15" hidden="1" customHeight="1" x14ac:dyDescent="0.3">
      <c r="A70" s="41"/>
      <c r="B70" s="14">
        <v>45805</v>
      </c>
      <c r="C70" s="48">
        <v>68</v>
      </c>
      <c r="D70" s="79" t="s">
        <v>99</v>
      </c>
      <c r="E70" s="80" t="s">
        <v>13</v>
      </c>
      <c r="F70" s="19"/>
      <c r="G70" s="20">
        <v>-25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45810</v>
      </c>
      <c r="C71" s="48">
        <v>69</v>
      </c>
      <c r="D71" s="79" t="s">
        <v>20</v>
      </c>
      <c r="E71" s="80" t="s">
        <v>21</v>
      </c>
      <c r="F71" s="19"/>
      <c r="G71" s="20">
        <v>-12</v>
      </c>
      <c r="H71" s="19"/>
      <c r="I71" s="20"/>
      <c r="J71" s="4"/>
      <c r="K71" s="2"/>
      <c r="L71" s="2"/>
    </row>
    <row r="72" spans="1:12" ht="15" hidden="1" customHeight="1" x14ac:dyDescent="0.3">
      <c r="A72" s="41"/>
      <c r="B72" s="14">
        <v>45811</v>
      </c>
      <c r="C72" s="48">
        <v>70</v>
      </c>
      <c r="D72" s="3" t="s">
        <v>44</v>
      </c>
      <c r="E72" s="80" t="s">
        <v>21</v>
      </c>
      <c r="F72" s="19"/>
      <c r="G72" s="20">
        <v>-52</v>
      </c>
      <c r="H72" s="20"/>
      <c r="I72" s="20"/>
      <c r="J72" s="4"/>
      <c r="K72" s="2"/>
      <c r="L72" s="2"/>
    </row>
    <row r="73" spans="1:12" ht="15" hidden="1" customHeight="1" x14ac:dyDescent="0.3">
      <c r="A73" s="41"/>
      <c r="B73" s="14">
        <v>45811</v>
      </c>
      <c r="C73" s="48">
        <v>71</v>
      </c>
      <c r="D73" s="3" t="s">
        <v>44</v>
      </c>
      <c r="E73" s="80" t="s">
        <v>21</v>
      </c>
      <c r="F73" s="19"/>
      <c r="G73" s="20">
        <v>-112</v>
      </c>
      <c r="H73" s="20"/>
      <c r="I73" s="20"/>
      <c r="J73" s="4"/>
      <c r="K73" s="2"/>
      <c r="L73" s="2"/>
    </row>
    <row r="74" spans="1:12" ht="15" hidden="1" customHeight="1" x14ac:dyDescent="0.3">
      <c r="A74" s="41"/>
      <c r="B74" s="14">
        <v>45818</v>
      </c>
      <c r="C74" s="48">
        <v>72</v>
      </c>
      <c r="D74" s="3" t="s">
        <v>45</v>
      </c>
      <c r="E74" s="80" t="s">
        <v>0</v>
      </c>
      <c r="F74" s="19"/>
      <c r="G74" s="20">
        <v>-13.2</v>
      </c>
      <c r="H74" s="20"/>
      <c r="I74" s="20"/>
      <c r="J74" s="4"/>
      <c r="K74" s="2"/>
      <c r="L74" s="2"/>
    </row>
    <row r="75" spans="1:12" ht="15" hidden="1" customHeight="1" x14ac:dyDescent="0.3">
      <c r="A75" s="41"/>
      <c r="B75" s="14">
        <v>45828</v>
      </c>
      <c r="C75" s="48">
        <v>73</v>
      </c>
      <c r="D75" s="3" t="s">
        <v>101</v>
      </c>
      <c r="E75" s="80" t="s">
        <v>13</v>
      </c>
      <c r="F75" s="19"/>
      <c r="G75" s="20">
        <v>-130.6</v>
      </c>
      <c r="H75" s="20"/>
      <c r="I75" s="20"/>
      <c r="J75" s="4"/>
      <c r="K75" s="2"/>
      <c r="L75" s="2"/>
    </row>
    <row r="76" spans="1:12" ht="15" hidden="1" customHeight="1" x14ac:dyDescent="0.3">
      <c r="A76" s="41"/>
      <c r="B76" s="14">
        <v>45828</v>
      </c>
      <c r="C76" s="48">
        <v>74</v>
      </c>
      <c r="D76" s="3" t="s">
        <v>102</v>
      </c>
      <c r="E76" s="80" t="s">
        <v>12</v>
      </c>
      <c r="F76" s="19"/>
      <c r="G76" s="20">
        <v>-200</v>
      </c>
      <c r="H76" s="20"/>
      <c r="I76" s="20"/>
      <c r="J76" s="4"/>
      <c r="K76" s="2"/>
      <c r="L76" s="2"/>
    </row>
    <row r="77" spans="1:12" ht="15" hidden="1" customHeight="1" x14ac:dyDescent="0.3">
      <c r="A77" s="41"/>
      <c r="B77" s="14">
        <v>45828</v>
      </c>
      <c r="C77" s="48">
        <v>75</v>
      </c>
      <c r="D77" s="3" t="s">
        <v>103</v>
      </c>
      <c r="E77" s="80" t="s">
        <v>13</v>
      </c>
      <c r="F77" s="19"/>
      <c r="G77" s="20">
        <v>-25</v>
      </c>
      <c r="H77" s="20"/>
      <c r="I77" s="20"/>
      <c r="J77" s="4"/>
      <c r="K77" s="2"/>
      <c r="L77" s="2"/>
    </row>
    <row r="78" spans="1:12" ht="15" hidden="1" customHeight="1" x14ac:dyDescent="0.3">
      <c r="A78" s="41"/>
      <c r="B78" s="14">
        <v>45831</v>
      </c>
      <c r="C78" s="48">
        <v>76</v>
      </c>
      <c r="D78" s="3" t="s">
        <v>51</v>
      </c>
      <c r="E78" s="80" t="s">
        <v>21</v>
      </c>
      <c r="F78" s="19"/>
      <c r="G78" s="20">
        <v>-12.99</v>
      </c>
      <c r="H78" s="20"/>
      <c r="I78" s="20"/>
      <c r="J78" s="4"/>
      <c r="K78" s="2"/>
      <c r="L78" s="2"/>
    </row>
    <row r="79" spans="1:12" ht="15" hidden="1" customHeight="1" x14ac:dyDescent="0.3">
      <c r="A79" s="41"/>
      <c r="B79" s="14">
        <v>45835</v>
      </c>
      <c r="C79" s="48">
        <v>77</v>
      </c>
      <c r="D79" s="3" t="s">
        <v>106</v>
      </c>
      <c r="E79" s="80" t="s">
        <v>12</v>
      </c>
      <c r="F79" s="19"/>
      <c r="G79" s="20">
        <v>-300</v>
      </c>
      <c r="H79" s="20"/>
      <c r="I79" s="20"/>
      <c r="J79" s="4"/>
      <c r="K79" s="2"/>
      <c r="L79" s="2"/>
    </row>
    <row r="80" spans="1:12" ht="15" hidden="1" customHeight="1" x14ac:dyDescent="0.3">
      <c r="A80" s="41"/>
      <c r="B80" s="14">
        <v>45835</v>
      </c>
      <c r="C80" s="48">
        <v>78</v>
      </c>
      <c r="D80" s="3" t="s">
        <v>107</v>
      </c>
      <c r="E80" s="80" t="s">
        <v>12</v>
      </c>
      <c r="F80" s="19"/>
      <c r="G80" s="20">
        <v>-120</v>
      </c>
      <c r="H80" s="20"/>
      <c r="I80" s="20"/>
      <c r="J80" s="4"/>
      <c r="K80" s="2"/>
      <c r="L80" s="2"/>
    </row>
    <row r="81" spans="1:12" ht="15" hidden="1" customHeight="1" x14ac:dyDescent="0.3">
      <c r="A81" s="41"/>
      <c r="B81" s="14">
        <v>45838</v>
      </c>
      <c r="C81" s="48">
        <v>79</v>
      </c>
      <c r="D81" s="3" t="s">
        <v>108</v>
      </c>
      <c r="E81" s="80" t="s">
        <v>21</v>
      </c>
      <c r="F81" s="19"/>
      <c r="G81" s="20">
        <v>-30.85</v>
      </c>
      <c r="H81" s="20"/>
      <c r="I81" s="20"/>
      <c r="J81" s="4"/>
      <c r="K81" s="2"/>
      <c r="L81" s="2"/>
    </row>
    <row r="82" spans="1:12" ht="15" hidden="1" customHeight="1" x14ac:dyDescent="0.3">
      <c r="A82" s="41"/>
      <c r="B82" s="14">
        <v>45840</v>
      </c>
      <c r="C82" s="48">
        <v>80</v>
      </c>
      <c r="D82" s="3" t="s">
        <v>44</v>
      </c>
      <c r="E82" s="80" t="s">
        <v>21</v>
      </c>
      <c r="F82" s="19"/>
      <c r="G82" s="20">
        <v>-112</v>
      </c>
      <c r="H82" s="20"/>
      <c r="I82" s="20"/>
      <c r="J82" s="4"/>
      <c r="K82" s="2"/>
      <c r="L82" s="2"/>
    </row>
    <row r="83" spans="1:12" ht="15" hidden="1" customHeight="1" x14ac:dyDescent="0.3">
      <c r="A83" s="41"/>
      <c r="B83" s="14">
        <v>45840</v>
      </c>
      <c r="C83" s="48">
        <v>81</v>
      </c>
      <c r="D83" s="3" t="s">
        <v>44</v>
      </c>
      <c r="E83" s="80" t="s">
        <v>21</v>
      </c>
      <c r="F83" s="19"/>
      <c r="G83" s="20">
        <v>-52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45841</v>
      </c>
      <c r="C84" s="48">
        <v>82</v>
      </c>
      <c r="D84" s="79" t="s">
        <v>20</v>
      </c>
      <c r="E84" s="80" t="s">
        <v>21</v>
      </c>
      <c r="F84" s="19"/>
      <c r="G84" s="20">
        <v>-12</v>
      </c>
      <c r="H84" s="20"/>
      <c r="I84" s="20"/>
      <c r="J84" s="4"/>
      <c r="K84" s="2"/>
      <c r="L84" s="2"/>
    </row>
    <row r="85" spans="1:12" ht="15" hidden="1" customHeight="1" x14ac:dyDescent="0.3">
      <c r="A85" s="41"/>
      <c r="B85" s="14">
        <v>45845</v>
      </c>
      <c r="C85" s="48">
        <v>83</v>
      </c>
      <c r="D85" s="79" t="s">
        <v>111</v>
      </c>
      <c r="E85" s="80" t="s">
        <v>0</v>
      </c>
      <c r="F85" s="19"/>
      <c r="G85" s="20">
        <v>-52.76</v>
      </c>
      <c r="H85" s="20"/>
      <c r="I85" s="20"/>
      <c r="J85" s="4"/>
      <c r="K85" s="2"/>
      <c r="L85" s="2"/>
    </row>
    <row r="86" spans="1:12" ht="15" hidden="1" customHeight="1" x14ac:dyDescent="0.3">
      <c r="A86" s="41"/>
      <c r="B86" s="14">
        <v>45846</v>
      </c>
      <c r="C86" s="48">
        <v>84</v>
      </c>
      <c r="D86" s="79" t="s">
        <v>114</v>
      </c>
      <c r="E86" s="80" t="s">
        <v>0</v>
      </c>
      <c r="F86" s="19"/>
      <c r="G86" s="20">
        <v>-70</v>
      </c>
      <c r="H86" s="20"/>
      <c r="I86" s="20"/>
      <c r="J86" s="4"/>
      <c r="K86" s="2"/>
      <c r="L86" s="2"/>
    </row>
    <row r="87" spans="1:12" ht="15" hidden="1" customHeight="1" x14ac:dyDescent="0.3">
      <c r="A87" s="41"/>
      <c r="B87" s="14">
        <v>45846</v>
      </c>
      <c r="C87" s="48">
        <v>85</v>
      </c>
      <c r="D87" s="3" t="s">
        <v>115</v>
      </c>
      <c r="E87" s="80" t="s">
        <v>0</v>
      </c>
      <c r="F87" s="19"/>
      <c r="G87" s="20">
        <v>-240.51</v>
      </c>
      <c r="H87" s="20"/>
      <c r="I87" s="20"/>
      <c r="J87" s="4"/>
      <c r="K87" s="2"/>
      <c r="L87" s="2"/>
    </row>
    <row r="88" spans="1:12" ht="15" hidden="1" customHeight="1" x14ac:dyDescent="0.3">
      <c r="A88" s="41"/>
      <c r="B88" s="14">
        <v>45853</v>
      </c>
      <c r="C88" s="48">
        <v>86</v>
      </c>
      <c r="D88" s="3" t="s">
        <v>50</v>
      </c>
      <c r="E88" s="80" t="s">
        <v>21</v>
      </c>
      <c r="F88" s="19"/>
      <c r="G88" s="20">
        <v>-18.36</v>
      </c>
      <c r="H88" s="20"/>
      <c r="I88" s="20"/>
      <c r="J88" s="4"/>
      <c r="K88" s="2"/>
      <c r="L88" s="2"/>
    </row>
    <row r="89" spans="1:12" ht="15" hidden="1" customHeight="1" x14ac:dyDescent="0.3">
      <c r="A89" s="41"/>
      <c r="B89" s="14">
        <v>45859</v>
      </c>
      <c r="C89" s="48">
        <v>87</v>
      </c>
      <c r="D89" s="3" t="s">
        <v>117</v>
      </c>
      <c r="E89" s="80" t="s">
        <v>13</v>
      </c>
      <c r="F89" s="19"/>
      <c r="G89" s="20">
        <v>-165</v>
      </c>
      <c r="H89" s="20"/>
      <c r="I89" s="20"/>
      <c r="J89" s="4"/>
      <c r="K89" s="2"/>
      <c r="L89" s="2"/>
    </row>
    <row r="90" spans="1:12" ht="15" hidden="1" customHeight="1" x14ac:dyDescent="0.3">
      <c r="A90" s="41"/>
      <c r="B90" s="14">
        <v>45861</v>
      </c>
      <c r="C90" s="48">
        <v>88</v>
      </c>
      <c r="D90" s="3" t="s">
        <v>51</v>
      </c>
      <c r="E90" s="80" t="s">
        <v>21</v>
      </c>
      <c r="F90" s="19"/>
      <c r="G90" s="20">
        <v>-12.99</v>
      </c>
      <c r="H90" s="20"/>
      <c r="I90" s="20"/>
      <c r="J90" s="4"/>
      <c r="K90" s="2"/>
      <c r="L90" s="2"/>
    </row>
    <row r="91" spans="1:12" ht="15" hidden="1" customHeight="1" x14ac:dyDescent="0.3">
      <c r="A91" s="41"/>
      <c r="B91" s="14">
        <v>45867</v>
      </c>
      <c r="C91" s="48">
        <v>89</v>
      </c>
      <c r="D91" s="3" t="s">
        <v>123</v>
      </c>
      <c r="E91" s="80" t="s">
        <v>13</v>
      </c>
      <c r="F91" s="19"/>
      <c r="G91" s="20">
        <v>-35.020000000000003</v>
      </c>
      <c r="H91" s="20"/>
      <c r="I91" s="20"/>
      <c r="J91" s="4"/>
      <c r="K91" s="2"/>
      <c r="L91" s="2"/>
    </row>
    <row r="92" spans="1:12" ht="15" hidden="1" customHeight="1" x14ac:dyDescent="0.3">
      <c r="A92" s="41"/>
      <c r="B92" s="14">
        <v>45869</v>
      </c>
      <c r="C92" s="48">
        <v>90</v>
      </c>
      <c r="D92" s="3" t="s">
        <v>126</v>
      </c>
      <c r="E92" s="80" t="s">
        <v>0</v>
      </c>
      <c r="F92" s="19"/>
      <c r="G92" s="20">
        <v>-324</v>
      </c>
      <c r="H92" s="20"/>
      <c r="I92" s="20"/>
      <c r="J92" s="4"/>
      <c r="K92" s="2"/>
      <c r="L92" s="2"/>
    </row>
    <row r="93" spans="1:12" ht="15" customHeight="1" x14ac:dyDescent="0.3">
      <c r="A93" s="41"/>
      <c r="B93" s="14">
        <v>45870</v>
      </c>
      <c r="C93" s="48">
        <v>91</v>
      </c>
      <c r="D93" s="79" t="s">
        <v>20</v>
      </c>
      <c r="E93" s="80" t="s">
        <v>21</v>
      </c>
      <c r="F93" s="19"/>
      <c r="G93" s="20">
        <v>-12</v>
      </c>
      <c r="H93" s="20"/>
      <c r="I93" s="20"/>
      <c r="J93" s="4"/>
      <c r="K93" s="2"/>
      <c r="L93" s="2"/>
    </row>
    <row r="94" spans="1:12" ht="15" hidden="1" customHeight="1" x14ac:dyDescent="0.3">
      <c r="A94" s="41"/>
      <c r="B94" s="14">
        <v>45873</v>
      </c>
      <c r="C94" s="48">
        <v>92</v>
      </c>
      <c r="D94" s="3" t="s">
        <v>44</v>
      </c>
      <c r="E94" s="80" t="s">
        <v>21</v>
      </c>
      <c r="F94" s="19"/>
      <c r="G94" s="20">
        <v>-52</v>
      </c>
      <c r="H94" s="20"/>
      <c r="I94" s="20"/>
      <c r="J94" s="4"/>
      <c r="K94" s="2"/>
      <c r="L94" s="2"/>
    </row>
    <row r="95" spans="1:12" ht="15" hidden="1" customHeight="1" x14ac:dyDescent="0.3">
      <c r="A95" s="41"/>
      <c r="B95" s="14">
        <v>45873</v>
      </c>
      <c r="C95" s="48">
        <v>93</v>
      </c>
      <c r="D95" s="3" t="s">
        <v>44</v>
      </c>
      <c r="E95" s="80" t="s">
        <v>21</v>
      </c>
      <c r="F95" s="19"/>
      <c r="G95" s="20">
        <v>-112</v>
      </c>
      <c r="H95" s="20"/>
      <c r="I95" s="20"/>
      <c r="J95" s="4"/>
      <c r="K95" s="2"/>
      <c r="L95" s="2"/>
    </row>
    <row r="96" spans="1:12" ht="15" hidden="1" customHeight="1" x14ac:dyDescent="0.3">
      <c r="A96" s="41"/>
      <c r="B96" s="14">
        <v>45873</v>
      </c>
      <c r="C96" s="48">
        <v>94</v>
      </c>
      <c r="D96" s="3" t="s">
        <v>127</v>
      </c>
      <c r="E96" s="80" t="s">
        <v>0</v>
      </c>
      <c r="F96" s="16"/>
      <c r="G96" s="20">
        <v>-147.69</v>
      </c>
      <c r="H96" s="20"/>
      <c r="I96" s="20"/>
      <c r="J96" s="4"/>
      <c r="K96" s="2"/>
      <c r="L96" s="2"/>
    </row>
    <row r="97" spans="1:246" ht="15" hidden="1" customHeight="1" x14ac:dyDescent="0.3">
      <c r="A97" s="41"/>
      <c r="B97" s="14">
        <v>45874</v>
      </c>
      <c r="C97" s="48">
        <v>95</v>
      </c>
      <c r="D97" s="3" t="s">
        <v>45</v>
      </c>
      <c r="E97" s="80" t="s">
        <v>0</v>
      </c>
      <c r="F97" s="16"/>
      <c r="G97" s="20">
        <v>-10.37</v>
      </c>
      <c r="H97" s="20"/>
      <c r="I97" s="20"/>
      <c r="J97" s="4"/>
      <c r="K97" s="2"/>
      <c r="L97" s="2"/>
    </row>
    <row r="98" spans="1:246" ht="15" hidden="1" customHeight="1" x14ac:dyDescent="0.3">
      <c r="A98" s="41"/>
      <c r="B98" s="14">
        <v>45874</v>
      </c>
      <c r="C98" s="48">
        <v>96</v>
      </c>
      <c r="D98" s="3" t="s">
        <v>128</v>
      </c>
      <c r="E98" s="80" t="s">
        <v>13</v>
      </c>
      <c r="F98" s="19"/>
      <c r="G98" s="20">
        <v>-70</v>
      </c>
      <c r="H98" s="20"/>
      <c r="I98" s="20"/>
      <c r="J98" s="4"/>
      <c r="K98" s="2"/>
      <c r="L98" s="2"/>
    </row>
    <row r="99" spans="1:246" ht="15" hidden="1" customHeight="1" x14ac:dyDescent="0.3">
      <c r="A99" s="41"/>
      <c r="B99" s="14">
        <v>45890</v>
      </c>
      <c r="C99" s="48">
        <v>97</v>
      </c>
      <c r="D99" s="3" t="s">
        <v>51</v>
      </c>
      <c r="E99" s="80" t="s">
        <v>21</v>
      </c>
      <c r="F99" s="19"/>
      <c r="G99" s="20">
        <v>-12.99</v>
      </c>
      <c r="H99" s="20"/>
      <c r="I99" s="20"/>
      <c r="J99" s="4"/>
      <c r="K99" s="2"/>
      <c r="L99" s="2"/>
    </row>
    <row r="100" spans="1:246" ht="15" hidden="1" customHeight="1" x14ac:dyDescent="0.3">
      <c r="A100" s="41"/>
      <c r="B100" s="14">
        <v>45895</v>
      </c>
      <c r="C100" s="48">
        <v>98</v>
      </c>
      <c r="D100" s="3" t="s">
        <v>45</v>
      </c>
      <c r="E100" s="80" t="s">
        <v>0</v>
      </c>
      <c r="F100" s="19"/>
      <c r="G100" s="20">
        <v>-48.08</v>
      </c>
      <c r="H100" s="20"/>
      <c r="I100" s="20"/>
      <c r="J100" s="4"/>
      <c r="K100" s="2"/>
      <c r="L100" s="2"/>
      <c r="IK100"/>
      <c r="IL100"/>
    </row>
    <row r="101" spans="1:246" ht="15" customHeight="1" x14ac:dyDescent="0.3">
      <c r="A101" s="41"/>
      <c r="B101" s="14">
        <v>45901</v>
      </c>
      <c r="C101" s="48">
        <v>99</v>
      </c>
      <c r="D101" s="79" t="s">
        <v>20</v>
      </c>
      <c r="E101" s="80" t="s">
        <v>21</v>
      </c>
      <c r="F101" s="19"/>
      <c r="G101" s="20">
        <v>-12</v>
      </c>
      <c r="H101" s="20"/>
      <c r="I101" s="20"/>
      <c r="J101" s="4"/>
      <c r="K101" s="2"/>
      <c r="L101" s="2"/>
    </row>
    <row r="102" spans="1:246" ht="15" hidden="1" customHeight="1" x14ac:dyDescent="0.3">
      <c r="A102" s="41"/>
      <c r="B102" s="14">
        <v>45902</v>
      </c>
      <c r="C102" s="48">
        <v>100</v>
      </c>
      <c r="D102" s="3" t="s">
        <v>44</v>
      </c>
      <c r="E102" s="80" t="s">
        <v>21</v>
      </c>
      <c r="F102" s="19"/>
      <c r="G102" s="20">
        <v>-52</v>
      </c>
      <c r="H102" s="20"/>
      <c r="I102" s="20"/>
      <c r="J102" s="4"/>
      <c r="K102" s="2"/>
      <c r="L102" s="2"/>
    </row>
    <row r="103" spans="1:246" ht="15" hidden="1" customHeight="1" x14ac:dyDescent="0.3">
      <c r="A103" s="41"/>
      <c r="B103" s="14">
        <v>45902</v>
      </c>
      <c r="C103" s="48">
        <v>101</v>
      </c>
      <c r="D103" s="3" t="s">
        <v>44</v>
      </c>
      <c r="E103" s="80" t="s">
        <v>21</v>
      </c>
      <c r="F103" s="19"/>
      <c r="G103" s="20">
        <v>-112</v>
      </c>
      <c r="H103" s="20"/>
      <c r="I103" s="20"/>
      <c r="J103" s="4"/>
      <c r="K103" s="2"/>
      <c r="L103" s="2"/>
    </row>
    <row r="104" spans="1:246" ht="15" hidden="1" customHeight="1" x14ac:dyDescent="0.3">
      <c r="A104" s="41"/>
      <c r="B104" s="14">
        <v>45908</v>
      </c>
      <c r="C104" s="48">
        <v>102</v>
      </c>
      <c r="D104" s="79" t="s">
        <v>130</v>
      </c>
      <c r="E104" s="80" t="s">
        <v>13</v>
      </c>
      <c r="F104" s="19"/>
      <c r="G104" s="20">
        <v>-98.12</v>
      </c>
      <c r="H104" s="20"/>
      <c r="I104" s="20"/>
      <c r="J104" s="4"/>
      <c r="K104" s="2"/>
      <c r="L104" s="2"/>
    </row>
    <row r="105" spans="1:246" ht="15" hidden="1" customHeight="1" x14ac:dyDescent="0.3">
      <c r="A105" s="41"/>
      <c r="B105" s="14">
        <v>45918</v>
      </c>
      <c r="C105" s="48">
        <v>103</v>
      </c>
      <c r="D105" s="3" t="s">
        <v>133</v>
      </c>
      <c r="E105" s="80" t="s">
        <v>21</v>
      </c>
      <c r="F105" s="19"/>
      <c r="G105" s="20">
        <v>-12.98</v>
      </c>
      <c r="H105" s="20"/>
      <c r="I105" s="20"/>
      <c r="J105" s="4"/>
      <c r="K105" s="2"/>
      <c r="L105" s="2"/>
    </row>
    <row r="106" spans="1:246" ht="15" hidden="1" customHeight="1" x14ac:dyDescent="0.3">
      <c r="A106" s="41"/>
      <c r="B106" s="14">
        <v>45922</v>
      </c>
      <c r="C106" s="48">
        <v>104</v>
      </c>
      <c r="D106" s="3" t="s">
        <v>51</v>
      </c>
      <c r="E106" s="80" t="s">
        <v>21</v>
      </c>
      <c r="F106" s="19"/>
      <c r="G106" s="20">
        <v>-16.39</v>
      </c>
      <c r="H106" s="20"/>
      <c r="I106" s="20"/>
      <c r="J106" s="4"/>
      <c r="K106" s="2"/>
      <c r="L106" s="2"/>
    </row>
    <row r="107" spans="1:246" ht="15" hidden="1" customHeight="1" x14ac:dyDescent="0.3">
      <c r="A107" s="41"/>
      <c r="B107" s="14">
        <v>45929</v>
      </c>
      <c r="C107" s="48">
        <v>105</v>
      </c>
      <c r="D107" s="3" t="s">
        <v>45</v>
      </c>
      <c r="E107" s="80" t="s">
        <v>0</v>
      </c>
      <c r="F107" s="19"/>
      <c r="G107" s="20">
        <v>-17.97</v>
      </c>
      <c r="H107" s="20"/>
      <c r="I107" s="20"/>
      <c r="J107" s="4"/>
      <c r="K107" s="2"/>
      <c r="L107" s="2"/>
    </row>
    <row r="108" spans="1:246" ht="15" hidden="1" customHeight="1" x14ac:dyDescent="0.3">
      <c r="A108" s="41"/>
      <c r="B108" s="14">
        <v>45930</v>
      </c>
      <c r="C108" s="48">
        <v>106</v>
      </c>
      <c r="D108" s="3" t="s">
        <v>29</v>
      </c>
      <c r="E108" s="80" t="s">
        <v>13</v>
      </c>
      <c r="F108" s="19"/>
      <c r="G108" s="20">
        <v>-0.95</v>
      </c>
      <c r="H108" s="20"/>
      <c r="I108" s="20"/>
      <c r="J108" s="4"/>
      <c r="K108" s="2"/>
      <c r="L108" s="2"/>
    </row>
    <row r="109" spans="1:246" ht="15" hidden="1" customHeight="1" x14ac:dyDescent="0.3">
      <c r="A109" s="41"/>
      <c r="B109" s="14">
        <v>45931</v>
      </c>
      <c r="C109" s="48">
        <v>107</v>
      </c>
      <c r="D109" s="3" t="s">
        <v>46</v>
      </c>
      <c r="E109" s="80" t="s">
        <v>21</v>
      </c>
      <c r="F109" s="19"/>
      <c r="G109" s="20">
        <v>-30.85</v>
      </c>
      <c r="H109" s="20"/>
      <c r="I109" s="20"/>
      <c r="J109" s="4"/>
      <c r="K109" s="2"/>
      <c r="L109" s="2"/>
    </row>
    <row r="110" spans="1:246" ht="15" customHeight="1" x14ac:dyDescent="0.3">
      <c r="A110" s="41"/>
      <c r="B110" s="14">
        <v>45931</v>
      </c>
      <c r="C110" s="48">
        <v>108</v>
      </c>
      <c r="D110" s="79" t="s">
        <v>20</v>
      </c>
      <c r="E110" s="80" t="s">
        <v>21</v>
      </c>
      <c r="F110" s="19"/>
      <c r="G110" s="20">
        <v>-12</v>
      </c>
      <c r="H110" s="20"/>
      <c r="I110" s="20"/>
      <c r="J110" s="4"/>
      <c r="K110" s="2"/>
      <c r="L110" s="2"/>
    </row>
    <row r="111" spans="1:246" ht="15" hidden="1" customHeight="1" x14ac:dyDescent="0.3">
      <c r="A111" s="41"/>
      <c r="B111" s="14">
        <v>45932</v>
      </c>
      <c r="C111" s="48">
        <v>109</v>
      </c>
      <c r="D111" s="3" t="s">
        <v>44</v>
      </c>
      <c r="E111" s="80" t="s">
        <v>21</v>
      </c>
      <c r="F111" s="19"/>
      <c r="G111" s="20">
        <v>-52</v>
      </c>
      <c r="H111" s="20"/>
      <c r="I111" s="20"/>
      <c r="J111" s="4"/>
      <c r="K111" s="2"/>
      <c r="L111" s="2"/>
    </row>
    <row r="112" spans="1:246" ht="15" hidden="1" customHeight="1" x14ac:dyDescent="0.3">
      <c r="A112" s="41"/>
      <c r="B112" s="14">
        <v>45932</v>
      </c>
      <c r="C112" s="48">
        <v>110</v>
      </c>
      <c r="D112" s="3" t="s">
        <v>44</v>
      </c>
      <c r="E112" s="80" t="s">
        <v>21</v>
      </c>
      <c r="F112" s="19"/>
      <c r="G112" s="20">
        <v>-112</v>
      </c>
      <c r="H112" s="20"/>
      <c r="I112" s="20"/>
      <c r="J112" s="4"/>
      <c r="K112" s="2"/>
      <c r="L112" s="2"/>
    </row>
    <row r="113" spans="1:12" ht="15" hidden="1" customHeight="1" x14ac:dyDescent="0.3">
      <c r="A113" s="41"/>
      <c r="B113" s="14">
        <v>45936</v>
      </c>
      <c r="C113" s="48">
        <v>111</v>
      </c>
      <c r="D113" s="3" t="s">
        <v>134</v>
      </c>
      <c r="E113" s="80" t="s">
        <v>13</v>
      </c>
      <c r="F113" s="19"/>
      <c r="G113" s="20">
        <v>-95</v>
      </c>
      <c r="H113" s="20"/>
      <c r="I113" s="20"/>
      <c r="J113" s="4"/>
      <c r="K113" s="2"/>
      <c r="L113" s="2"/>
    </row>
    <row r="114" spans="1:12" ht="15" hidden="1" customHeight="1" x14ac:dyDescent="0.3">
      <c r="A114" s="41"/>
      <c r="B114" s="14">
        <v>45936</v>
      </c>
      <c r="C114" s="48">
        <v>112</v>
      </c>
      <c r="D114" s="3" t="s">
        <v>135</v>
      </c>
      <c r="E114" s="80" t="s">
        <v>13</v>
      </c>
      <c r="F114" s="16"/>
      <c r="G114" s="20">
        <v>-120</v>
      </c>
      <c r="H114" s="20"/>
      <c r="I114" s="20"/>
      <c r="J114" s="4"/>
      <c r="K114" s="2"/>
      <c r="L114" s="2"/>
    </row>
    <row r="115" spans="1:12" ht="15" hidden="1" customHeight="1" x14ac:dyDescent="0.3">
      <c r="A115" s="41"/>
      <c r="B115" s="14">
        <v>45939</v>
      </c>
      <c r="C115" s="48">
        <v>113</v>
      </c>
      <c r="D115" s="3" t="s">
        <v>14</v>
      </c>
      <c r="E115" s="21" t="s">
        <v>14</v>
      </c>
      <c r="F115" s="19"/>
      <c r="G115" s="20">
        <v>-83.98</v>
      </c>
      <c r="H115" s="20"/>
      <c r="I115" s="20"/>
      <c r="J115" s="4"/>
      <c r="K115" s="2"/>
      <c r="L115" s="2"/>
    </row>
    <row r="116" spans="1:12" ht="15" hidden="1" customHeight="1" x14ac:dyDescent="0.3">
      <c r="A116" s="41"/>
      <c r="B116" s="14">
        <v>45939</v>
      </c>
      <c r="C116" s="48">
        <v>114</v>
      </c>
      <c r="D116" s="3" t="s">
        <v>137</v>
      </c>
      <c r="E116" s="80" t="s">
        <v>13</v>
      </c>
      <c r="F116" s="19"/>
      <c r="G116" s="20">
        <v>-157.79</v>
      </c>
      <c r="H116" s="20"/>
      <c r="I116" s="20"/>
      <c r="J116" s="4"/>
      <c r="K116" s="2"/>
      <c r="L116" s="2"/>
    </row>
    <row r="117" spans="1:12" ht="15" hidden="1" customHeight="1" x14ac:dyDescent="0.3">
      <c r="A117" s="41"/>
      <c r="B117" s="14">
        <v>45945</v>
      </c>
      <c r="C117" s="48">
        <v>115</v>
      </c>
      <c r="D117" s="3" t="s">
        <v>50</v>
      </c>
      <c r="E117" s="80" t="s">
        <v>21</v>
      </c>
      <c r="F117" s="19"/>
      <c r="G117" s="20">
        <v>-18.36</v>
      </c>
      <c r="H117" s="20"/>
      <c r="I117" s="20"/>
      <c r="J117" s="4"/>
      <c r="K117" s="2"/>
      <c r="L117" s="2"/>
    </row>
    <row r="118" spans="1:12" ht="15" hidden="1" customHeight="1" x14ac:dyDescent="0.3">
      <c r="A118" s="41"/>
      <c r="B118" s="14">
        <v>45945</v>
      </c>
      <c r="C118" s="48">
        <v>116</v>
      </c>
      <c r="D118" s="3" t="s">
        <v>45</v>
      </c>
      <c r="E118" s="80" t="s">
        <v>0</v>
      </c>
      <c r="F118" s="19"/>
      <c r="G118" s="20">
        <v>-17.940000000000001</v>
      </c>
      <c r="H118" s="20"/>
      <c r="I118" s="20"/>
      <c r="J118" s="4"/>
      <c r="K118" s="2"/>
      <c r="L118" s="2"/>
    </row>
    <row r="119" spans="1:12" ht="15" hidden="1" customHeight="1" x14ac:dyDescent="0.3">
      <c r="A119" s="41"/>
      <c r="B119" s="14">
        <v>45952</v>
      </c>
      <c r="C119" s="48">
        <v>117</v>
      </c>
      <c r="D119" s="3" t="s">
        <v>138</v>
      </c>
      <c r="E119" s="80" t="s">
        <v>21</v>
      </c>
      <c r="F119" s="19"/>
      <c r="G119" s="20">
        <v>-40.92</v>
      </c>
      <c r="H119" s="20"/>
      <c r="I119" s="20"/>
      <c r="J119" s="4"/>
      <c r="K119" s="2"/>
      <c r="L119" s="2"/>
    </row>
    <row r="120" spans="1:12" ht="15" hidden="1" customHeight="1" x14ac:dyDescent="0.3">
      <c r="A120" s="41"/>
      <c r="B120" s="14">
        <v>45957</v>
      </c>
      <c r="C120" s="48">
        <v>118</v>
      </c>
      <c r="D120" s="3" t="s">
        <v>139</v>
      </c>
      <c r="E120" s="80" t="s">
        <v>22</v>
      </c>
      <c r="F120" s="19"/>
      <c r="G120" s="20">
        <v>-20</v>
      </c>
      <c r="H120" s="20"/>
      <c r="I120" s="20"/>
      <c r="J120" s="4"/>
      <c r="K120" s="2"/>
      <c r="L120" s="2"/>
    </row>
    <row r="121" spans="1:12" ht="15" hidden="1" customHeight="1" x14ac:dyDescent="0.3">
      <c r="A121" s="41"/>
      <c r="B121" s="14">
        <v>45957</v>
      </c>
      <c r="C121" s="48">
        <v>119</v>
      </c>
      <c r="D121" s="3" t="s">
        <v>133</v>
      </c>
      <c r="E121" s="80" t="s">
        <v>21</v>
      </c>
      <c r="F121" s="19"/>
      <c r="G121" s="20">
        <v>-0.67</v>
      </c>
      <c r="H121" s="20"/>
      <c r="I121" s="20"/>
      <c r="J121" s="4"/>
      <c r="K121" s="2"/>
      <c r="L121" s="2"/>
    </row>
    <row r="122" spans="1:12" ht="15" hidden="1" customHeight="1" x14ac:dyDescent="0.3">
      <c r="A122" s="41"/>
      <c r="B122" s="14">
        <v>45959</v>
      </c>
      <c r="C122" s="48">
        <v>120</v>
      </c>
      <c r="D122" s="3" t="s">
        <v>140</v>
      </c>
      <c r="E122" s="2" t="s">
        <v>18</v>
      </c>
      <c r="F122" s="19"/>
      <c r="G122" s="20">
        <v>-104.13</v>
      </c>
      <c r="H122" s="20"/>
      <c r="I122" s="20"/>
      <c r="J122" s="4"/>
      <c r="K122" s="2"/>
      <c r="L122" s="2"/>
    </row>
    <row r="123" spans="1:12" ht="15" hidden="1" customHeight="1" x14ac:dyDescent="0.3">
      <c r="A123" s="41"/>
      <c r="B123" s="14">
        <v>45959</v>
      </c>
      <c r="C123" s="48">
        <v>121</v>
      </c>
      <c r="D123" s="3" t="s">
        <v>45</v>
      </c>
      <c r="E123" s="80" t="s">
        <v>0</v>
      </c>
      <c r="F123" s="19"/>
      <c r="G123" s="20">
        <v>-6.99</v>
      </c>
      <c r="H123" s="20"/>
      <c r="I123" s="20"/>
      <c r="J123" s="4"/>
      <c r="K123" s="2"/>
      <c r="L123" s="2"/>
    </row>
    <row r="124" spans="1:12" ht="15" customHeight="1" x14ac:dyDescent="0.3">
      <c r="A124" s="41"/>
      <c r="B124" s="14">
        <v>45964</v>
      </c>
      <c r="C124" s="48">
        <v>122</v>
      </c>
      <c r="D124" s="79" t="s">
        <v>20</v>
      </c>
      <c r="E124" s="80" t="s">
        <v>21</v>
      </c>
      <c r="F124" s="19"/>
      <c r="G124" s="20">
        <v>-12</v>
      </c>
      <c r="H124" s="20"/>
      <c r="I124" s="20"/>
      <c r="J124" s="4"/>
      <c r="K124" s="2"/>
      <c r="L124" s="2"/>
    </row>
    <row r="125" spans="1:12" ht="15" hidden="1" customHeight="1" x14ac:dyDescent="0.3">
      <c r="A125" s="41"/>
      <c r="B125" s="14">
        <v>45964</v>
      </c>
      <c r="C125" s="48">
        <v>123</v>
      </c>
      <c r="D125" s="3" t="s">
        <v>141</v>
      </c>
      <c r="E125" s="80" t="s">
        <v>21</v>
      </c>
      <c r="F125" s="19"/>
      <c r="G125" s="20">
        <v>-143.16</v>
      </c>
      <c r="H125" s="20"/>
      <c r="I125" s="20"/>
      <c r="J125" s="4"/>
      <c r="K125" s="2"/>
      <c r="L125" s="2"/>
    </row>
    <row r="126" spans="1:12" ht="15" hidden="1" customHeight="1" x14ac:dyDescent="0.3">
      <c r="A126" s="41"/>
      <c r="B126" s="14">
        <v>45964</v>
      </c>
      <c r="C126" s="48">
        <v>124</v>
      </c>
      <c r="D126" s="3" t="s">
        <v>45</v>
      </c>
      <c r="E126" s="80" t="s">
        <v>0</v>
      </c>
      <c r="F126" s="19"/>
      <c r="G126" s="20">
        <v>-11.99</v>
      </c>
      <c r="H126" s="20"/>
      <c r="I126" s="20"/>
      <c r="J126" s="4"/>
      <c r="K126" s="2"/>
      <c r="L126" s="2"/>
    </row>
    <row r="127" spans="1:12" ht="15" hidden="1" customHeight="1" x14ac:dyDescent="0.3">
      <c r="A127" s="41"/>
      <c r="B127" s="14">
        <v>45965</v>
      </c>
      <c r="C127" s="48">
        <v>125</v>
      </c>
      <c r="D127" s="3" t="s">
        <v>44</v>
      </c>
      <c r="E127" s="80" t="s">
        <v>21</v>
      </c>
      <c r="F127" s="19"/>
      <c r="G127" s="20">
        <v>-52</v>
      </c>
      <c r="H127" s="20"/>
      <c r="I127" s="20"/>
      <c r="J127" s="4"/>
      <c r="K127" s="2"/>
      <c r="L127" s="2"/>
    </row>
    <row r="128" spans="1:12" ht="15" hidden="1" customHeight="1" x14ac:dyDescent="0.3">
      <c r="A128" s="41"/>
      <c r="B128" s="14">
        <v>45965</v>
      </c>
      <c r="C128" s="48">
        <v>126</v>
      </c>
      <c r="D128" s="3" t="s">
        <v>44</v>
      </c>
      <c r="E128" s="80" t="s">
        <v>21</v>
      </c>
      <c r="F128" s="19"/>
      <c r="G128" s="20">
        <v>-112</v>
      </c>
      <c r="H128" s="20"/>
      <c r="I128" s="20"/>
      <c r="J128" s="4"/>
      <c r="K128" s="2"/>
      <c r="L128" s="2"/>
    </row>
    <row r="129" spans="1:12" ht="15" hidden="1" customHeight="1" x14ac:dyDescent="0.3">
      <c r="A129" s="41"/>
      <c r="B129" s="14">
        <v>45974</v>
      </c>
      <c r="C129" s="48">
        <v>127</v>
      </c>
      <c r="D129" s="79" t="s">
        <v>45</v>
      </c>
      <c r="E129" s="80" t="s">
        <v>0</v>
      </c>
      <c r="F129" s="19"/>
      <c r="G129" s="20">
        <v>-96.99</v>
      </c>
      <c r="H129" s="20"/>
      <c r="I129" s="20"/>
      <c r="J129" s="4"/>
      <c r="K129" s="2"/>
      <c r="L129" s="2"/>
    </row>
    <row r="130" spans="1:12" ht="15" hidden="1" customHeight="1" x14ac:dyDescent="0.3">
      <c r="A130" s="41"/>
      <c r="B130" s="14">
        <v>45978</v>
      </c>
      <c r="C130" s="48">
        <v>128</v>
      </c>
      <c r="D130" s="37" t="s">
        <v>145</v>
      </c>
      <c r="E130" s="2" t="s">
        <v>18</v>
      </c>
      <c r="F130" s="19"/>
      <c r="G130" s="20">
        <v>-440.5</v>
      </c>
      <c r="H130" s="20"/>
      <c r="I130" s="20"/>
      <c r="J130" s="4"/>
      <c r="K130" s="2"/>
      <c r="L130" s="2"/>
    </row>
    <row r="131" spans="1:12" ht="15" hidden="1" customHeight="1" x14ac:dyDescent="0.3">
      <c r="A131" s="41"/>
      <c r="B131" s="14">
        <v>45978</v>
      </c>
      <c r="C131" s="48">
        <v>129</v>
      </c>
      <c r="D131" s="3" t="s">
        <v>159</v>
      </c>
      <c r="E131" s="80" t="s">
        <v>0</v>
      </c>
      <c r="F131" s="19"/>
      <c r="G131" s="20">
        <v>-40</v>
      </c>
      <c r="H131" s="20"/>
      <c r="I131" s="20"/>
      <c r="J131" s="4"/>
      <c r="K131" s="2"/>
      <c r="L131" s="2"/>
    </row>
    <row r="132" spans="1:12" ht="15" hidden="1" customHeight="1" x14ac:dyDescent="0.3">
      <c r="A132" s="41"/>
      <c r="B132" s="14">
        <v>45979</v>
      </c>
      <c r="C132" s="48">
        <v>130</v>
      </c>
      <c r="D132" s="3" t="s">
        <v>146</v>
      </c>
      <c r="E132" s="21" t="s">
        <v>27</v>
      </c>
      <c r="F132" s="19"/>
      <c r="G132" s="20">
        <v>-8</v>
      </c>
      <c r="H132" s="20"/>
      <c r="I132" s="20"/>
      <c r="J132" s="4"/>
      <c r="K132" s="2"/>
      <c r="L132" s="2"/>
    </row>
    <row r="133" spans="1:12" ht="15" hidden="1" customHeight="1" x14ac:dyDescent="0.3">
      <c r="A133" s="41"/>
      <c r="B133" s="14">
        <v>45979</v>
      </c>
      <c r="C133" s="48">
        <v>131</v>
      </c>
      <c r="D133" s="3" t="s">
        <v>148</v>
      </c>
      <c r="E133" s="80" t="s">
        <v>0</v>
      </c>
      <c r="F133" s="19"/>
      <c r="G133" s="20">
        <v>-39.89</v>
      </c>
      <c r="H133" s="20"/>
      <c r="I133" s="20"/>
      <c r="J133" s="4"/>
      <c r="K133" s="2"/>
      <c r="L133" s="2"/>
    </row>
    <row r="134" spans="1:12" ht="15" hidden="1" customHeight="1" x14ac:dyDescent="0.3">
      <c r="A134" s="41"/>
      <c r="B134" s="14">
        <v>45980</v>
      </c>
      <c r="C134" s="48">
        <v>132</v>
      </c>
      <c r="D134" s="3" t="s">
        <v>149</v>
      </c>
      <c r="E134" s="21" t="s">
        <v>14</v>
      </c>
      <c r="F134" s="19"/>
      <c r="G134" s="20">
        <v>-11.97</v>
      </c>
      <c r="H134" s="20"/>
      <c r="I134" s="20"/>
      <c r="J134" s="4"/>
      <c r="K134" s="2"/>
      <c r="L134" s="2"/>
    </row>
    <row r="135" spans="1:12" ht="15" hidden="1" customHeight="1" x14ac:dyDescent="0.3">
      <c r="A135" s="41"/>
      <c r="B135" s="14">
        <v>45980</v>
      </c>
      <c r="C135" s="48">
        <v>133</v>
      </c>
      <c r="D135" s="3" t="s">
        <v>150</v>
      </c>
      <c r="E135" s="21" t="s">
        <v>14</v>
      </c>
      <c r="F135" s="19"/>
      <c r="G135" s="20">
        <v>-28.5</v>
      </c>
      <c r="H135" s="20"/>
      <c r="I135" s="20"/>
      <c r="J135" s="4"/>
      <c r="K135" s="2"/>
      <c r="L135" s="2"/>
    </row>
    <row r="136" spans="1:12" ht="15" hidden="1" customHeight="1" x14ac:dyDescent="0.3">
      <c r="A136" s="41"/>
      <c r="B136" s="14">
        <v>45980</v>
      </c>
      <c r="C136" s="48">
        <v>134</v>
      </c>
      <c r="D136" s="3" t="s">
        <v>151</v>
      </c>
      <c r="E136" s="80" t="s">
        <v>0</v>
      </c>
      <c r="F136" s="19"/>
      <c r="G136" s="20">
        <v>-93.09</v>
      </c>
      <c r="H136" s="20"/>
      <c r="I136" s="20"/>
      <c r="J136" s="4"/>
      <c r="K136" s="2"/>
      <c r="L136" s="2"/>
    </row>
    <row r="137" spans="1:12" ht="15" hidden="1" customHeight="1" x14ac:dyDescent="0.3">
      <c r="A137" s="41"/>
      <c r="B137" s="14">
        <v>45985</v>
      </c>
      <c r="C137" s="48">
        <v>135</v>
      </c>
      <c r="D137" s="3" t="s">
        <v>150</v>
      </c>
      <c r="E137" s="21" t="s">
        <v>14</v>
      </c>
      <c r="F137" s="19"/>
      <c r="G137" s="20">
        <v>-28.5</v>
      </c>
      <c r="H137" s="20"/>
      <c r="I137" s="20"/>
      <c r="J137" s="4"/>
      <c r="K137" s="2"/>
      <c r="L137" s="2"/>
    </row>
    <row r="138" spans="1:12" ht="15" hidden="1" customHeight="1" x14ac:dyDescent="0.3">
      <c r="A138" s="41"/>
      <c r="B138" s="14">
        <v>45986</v>
      </c>
      <c r="C138" s="48">
        <v>136</v>
      </c>
      <c r="D138" s="79" t="s">
        <v>133</v>
      </c>
      <c r="E138" s="80" t="s">
        <v>21</v>
      </c>
      <c r="F138" s="19"/>
      <c r="G138" s="20">
        <v>-4.99</v>
      </c>
      <c r="H138" s="20"/>
      <c r="I138" s="20"/>
      <c r="J138" s="4"/>
      <c r="K138" s="2"/>
      <c r="L138" s="2"/>
    </row>
    <row r="139" spans="1:12" ht="15" hidden="1" customHeight="1" x14ac:dyDescent="0.3">
      <c r="A139" s="41"/>
      <c r="B139" s="14">
        <v>45992</v>
      </c>
      <c r="C139" s="48">
        <v>137</v>
      </c>
      <c r="D139" s="79" t="s">
        <v>45</v>
      </c>
      <c r="E139" s="80" t="s">
        <v>0</v>
      </c>
      <c r="F139" s="19"/>
      <c r="G139" s="20">
        <v>-36.26</v>
      </c>
      <c r="H139" s="20"/>
      <c r="I139" s="20"/>
      <c r="J139" s="4"/>
      <c r="K139" s="2"/>
      <c r="L139" s="2"/>
    </row>
    <row r="140" spans="1:12" ht="15" customHeight="1" x14ac:dyDescent="0.3">
      <c r="A140" s="41"/>
      <c r="B140" s="14">
        <v>45992</v>
      </c>
      <c r="C140" s="48">
        <v>138</v>
      </c>
      <c r="D140" s="79" t="s">
        <v>20</v>
      </c>
      <c r="E140" s="80" t="s">
        <v>21</v>
      </c>
      <c r="F140" s="19"/>
      <c r="G140" s="20">
        <v>-12</v>
      </c>
      <c r="H140" s="20"/>
      <c r="I140" s="20"/>
      <c r="J140" s="4"/>
      <c r="K140" s="2"/>
      <c r="L140" s="2"/>
    </row>
    <row r="141" spans="1:12" ht="15" hidden="1" customHeight="1" x14ac:dyDescent="0.3">
      <c r="A141" s="41"/>
      <c r="B141" s="14">
        <v>45993</v>
      </c>
      <c r="C141" s="48" t="s">
        <v>163</v>
      </c>
      <c r="D141" s="3" t="s">
        <v>44</v>
      </c>
      <c r="E141" s="80" t="s">
        <v>21</v>
      </c>
      <c r="F141" s="19"/>
      <c r="G141" s="20">
        <v>-52</v>
      </c>
      <c r="H141" s="20"/>
      <c r="I141" s="20"/>
      <c r="J141" s="4"/>
      <c r="K141" s="2"/>
      <c r="L141" s="2"/>
    </row>
    <row r="142" spans="1:12" ht="15" hidden="1" customHeight="1" x14ac:dyDescent="0.3">
      <c r="A142" s="41"/>
      <c r="B142" s="14">
        <v>45993</v>
      </c>
      <c r="C142" s="48" t="s">
        <v>164</v>
      </c>
      <c r="D142" s="3" t="s">
        <v>44</v>
      </c>
      <c r="E142" s="80" t="s">
        <v>21</v>
      </c>
      <c r="F142" s="19"/>
      <c r="G142" s="20">
        <v>-112</v>
      </c>
      <c r="H142" s="20"/>
      <c r="I142" s="20"/>
      <c r="J142" s="4"/>
      <c r="K142" s="2"/>
      <c r="L142" s="2"/>
    </row>
    <row r="143" spans="1:12" ht="15" hidden="1" customHeight="1" x14ac:dyDescent="0.3">
      <c r="A143" s="41"/>
      <c r="B143" s="14">
        <v>45995</v>
      </c>
      <c r="C143" s="48">
        <v>139</v>
      </c>
      <c r="D143" s="3" t="s">
        <v>154</v>
      </c>
      <c r="E143" s="80" t="s">
        <v>22</v>
      </c>
      <c r="F143" s="19"/>
      <c r="G143" s="20">
        <v>-20</v>
      </c>
      <c r="H143" s="20"/>
      <c r="I143" s="20"/>
      <c r="J143" s="4"/>
      <c r="K143" s="2"/>
      <c r="L143" s="2"/>
    </row>
    <row r="144" spans="1:12" ht="15" hidden="1" customHeight="1" x14ac:dyDescent="0.3">
      <c r="A144" s="41"/>
      <c r="B144" s="14">
        <v>46002</v>
      </c>
      <c r="C144" s="48">
        <v>140</v>
      </c>
      <c r="D144" s="3" t="s">
        <v>160</v>
      </c>
      <c r="E144" s="80" t="s">
        <v>0</v>
      </c>
      <c r="F144" s="19"/>
      <c r="G144" s="20">
        <v>-35.68</v>
      </c>
      <c r="H144" s="20"/>
      <c r="I144" s="20"/>
      <c r="J144" s="4"/>
      <c r="K144" s="2"/>
      <c r="L144" s="2"/>
    </row>
    <row r="145" spans="1:12" ht="15" hidden="1" customHeight="1" x14ac:dyDescent="0.3">
      <c r="A145" s="41"/>
      <c r="B145" s="14">
        <v>46003</v>
      </c>
      <c r="C145" s="48">
        <v>141</v>
      </c>
      <c r="D145" s="3" t="s">
        <v>161</v>
      </c>
      <c r="E145" s="2" t="s">
        <v>18</v>
      </c>
      <c r="F145" s="19"/>
      <c r="G145" s="20">
        <v>-272.87</v>
      </c>
      <c r="H145" s="20"/>
      <c r="I145" s="20"/>
      <c r="J145" s="4"/>
      <c r="K145" s="2"/>
      <c r="L145" s="2"/>
    </row>
    <row r="146" spans="1:12" ht="15" hidden="1" customHeight="1" x14ac:dyDescent="0.3">
      <c r="A146" s="41"/>
      <c r="B146" s="14">
        <v>46003</v>
      </c>
      <c r="C146" s="48">
        <v>141</v>
      </c>
      <c r="D146" s="3" t="s">
        <v>162</v>
      </c>
      <c r="E146" s="80" t="s">
        <v>0</v>
      </c>
      <c r="F146" s="19"/>
      <c r="G146" s="20">
        <v>-74.75</v>
      </c>
      <c r="H146" s="20"/>
      <c r="I146" s="20"/>
      <c r="J146" s="4"/>
      <c r="K146" s="2"/>
      <c r="L146" s="2"/>
    </row>
    <row r="147" spans="1:12" ht="15" hidden="1" customHeight="1" x14ac:dyDescent="0.3">
      <c r="A147" s="41"/>
      <c r="B147" s="14">
        <v>46006</v>
      </c>
      <c r="C147" s="48">
        <v>142</v>
      </c>
      <c r="D147" s="3" t="s">
        <v>155</v>
      </c>
      <c r="E147" s="80" t="s">
        <v>0</v>
      </c>
      <c r="F147" s="19"/>
      <c r="G147" s="20">
        <v>-52.82</v>
      </c>
      <c r="H147" s="20"/>
      <c r="I147" s="20"/>
      <c r="J147" s="4"/>
      <c r="K147" s="2"/>
      <c r="L147" s="2"/>
    </row>
    <row r="148" spans="1:12" ht="15" hidden="1" customHeight="1" x14ac:dyDescent="0.3">
      <c r="A148" s="41"/>
      <c r="B148" s="14">
        <v>46008</v>
      </c>
      <c r="C148" s="48">
        <v>143</v>
      </c>
      <c r="D148" s="3" t="s">
        <v>102</v>
      </c>
      <c r="E148" s="21" t="s">
        <v>12</v>
      </c>
      <c r="F148" s="19"/>
      <c r="G148" s="20">
        <v>-600</v>
      </c>
      <c r="H148" s="20"/>
      <c r="I148" s="20"/>
      <c r="J148" s="4"/>
      <c r="K148" s="2"/>
      <c r="L148" s="2"/>
    </row>
    <row r="149" spans="1:12" ht="15" hidden="1" customHeight="1" x14ac:dyDescent="0.3">
      <c r="A149" s="41"/>
      <c r="B149" s="14">
        <v>46013</v>
      </c>
      <c r="C149" s="48">
        <v>144</v>
      </c>
      <c r="D149" s="37" t="s">
        <v>45</v>
      </c>
      <c r="E149" s="80" t="s">
        <v>0</v>
      </c>
      <c r="F149" s="19"/>
      <c r="G149" s="20">
        <v>-14.59</v>
      </c>
      <c r="H149" s="20"/>
      <c r="I149" s="20"/>
      <c r="J149" s="4"/>
      <c r="K149" s="2"/>
      <c r="L149" s="2"/>
    </row>
    <row r="150" spans="1:12" ht="15" hidden="1" customHeight="1" x14ac:dyDescent="0.3">
      <c r="A150" s="41"/>
      <c r="B150" s="14">
        <v>46011</v>
      </c>
      <c r="C150" s="48">
        <v>145</v>
      </c>
      <c r="D150" s="79" t="s">
        <v>133</v>
      </c>
      <c r="E150" s="80" t="s">
        <v>21</v>
      </c>
      <c r="F150" s="19"/>
      <c r="G150" s="20">
        <v>-4.99</v>
      </c>
      <c r="H150" s="20"/>
      <c r="I150" s="20"/>
      <c r="J150" s="4"/>
      <c r="K150" s="2"/>
    </row>
    <row r="151" spans="1:12" ht="15" hidden="1" customHeight="1" x14ac:dyDescent="0.3">
      <c r="A151" s="41"/>
      <c r="B151" s="14">
        <v>46021</v>
      </c>
      <c r="C151" s="48">
        <v>146</v>
      </c>
      <c r="D151" s="3" t="s">
        <v>165</v>
      </c>
      <c r="E151" s="80" t="s">
        <v>0</v>
      </c>
      <c r="F151" s="19"/>
      <c r="G151" s="20">
        <v>-150</v>
      </c>
      <c r="H151" s="20"/>
      <c r="I151" s="20"/>
      <c r="J151" s="4"/>
      <c r="K151" s="2"/>
      <c r="L151" s="2"/>
    </row>
    <row r="152" spans="1:12" ht="15" hidden="1" customHeight="1" x14ac:dyDescent="0.3">
      <c r="A152" s="41"/>
      <c r="B152" s="14">
        <v>46021</v>
      </c>
      <c r="C152" s="48">
        <v>147</v>
      </c>
      <c r="D152" s="3" t="s">
        <v>180</v>
      </c>
      <c r="E152" s="80" t="s">
        <v>13</v>
      </c>
      <c r="F152" s="19"/>
      <c r="G152" s="20">
        <v>-0.11</v>
      </c>
      <c r="H152" s="20"/>
      <c r="I152" s="20"/>
      <c r="J152" s="4"/>
      <c r="K152" s="2"/>
      <c r="L152" s="2"/>
    </row>
    <row r="153" spans="1:12" ht="15" hidden="1" customHeight="1" x14ac:dyDescent="0.3">
      <c r="A153" s="41"/>
      <c r="B153" s="14">
        <v>46021</v>
      </c>
      <c r="C153" s="48">
        <v>148</v>
      </c>
      <c r="D153" s="3" t="s">
        <v>181</v>
      </c>
      <c r="E153" s="80" t="s">
        <v>13</v>
      </c>
      <c r="F153" s="19"/>
      <c r="G153" s="20">
        <v>-2.0099999999999998</v>
      </c>
      <c r="H153" s="20"/>
      <c r="I153" s="20"/>
      <c r="J153" s="4"/>
      <c r="K153" s="2"/>
      <c r="L153" s="2"/>
    </row>
    <row r="154" spans="1:12" ht="15" hidden="1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hidden="1" customHeight="1" x14ac:dyDescent="0.3">
      <c r="A155" s="41"/>
      <c r="B155" s="14"/>
      <c r="C155" s="48">
        <v>149</v>
      </c>
      <c r="D155" s="3"/>
      <c r="E155" s="80"/>
      <c r="F155" s="19"/>
      <c r="G155" s="20"/>
      <c r="H155" s="20"/>
      <c r="I155" s="20"/>
      <c r="J155" s="4"/>
      <c r="K155" s="2"/>
      <c r="L155" s="2"/>
    </row>
    <row r="156" spans="1:12" ht="15" hidden="1" customHeight="1" x14ac:dyDescent="0.3">
      <c r="A156" s="41"/>
      <c r="B156" s="14"/>
      <c r="C156" s="48">
        <v>149.69999999999999</v>
      </c>
      <c r="D156" s="79"/>
      <c r="E156" s="80"/>
      <c r="F156" s="19"/>
      <c r="G156" s="20"/>
      <c r="H156" s="20"/>
      <c r="I156" s="20"/>
      <c r="J156" s="4"/>
      <c r="K156" s="2"/>
      <c r="L156" s="2"/>
    </row>
    <row r="157" spans="1:12" ht="15" hidden="1" customHeight="1" x14ac:dyDescent="0.3">
      <c r="A157" s="41"/>
      <c r="B157" s="14"/>
      <c r="C157" s="48">
        <v>151</v>
      </c>
      <c r="D157" s="79"/>
      <c r="E157" s="80"/>
      <c r="F157" s="19"/>
      <c r="G157" s="20"/>
      <c r="H157" s="20"/>
      <c r="I157" s="20"/>
      <c r="J157" s="4"/>
      <c r="K157" s="2"/>
      <c r="L157" s="2"/>
    </row>
    <row r="158" spans="1:12" ht="15" hidden="1" customHeight="1" x14ac:dyDescent="0.3">
      <c r="A158" s="41"/>
      <c r="B158" s="14"/>
      <c r="C158" s="48">
        <v>152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hidden="1" customHeight="1" x14ac:dyDescent="0.3">
      <c r="A159" s="41"/>
      <c r="B159" s="14"/>
      <c r="C159" s="48">
        <v>153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hidden="1" customHeight="1" x14ac:dyDescent="0.3">
      <c r="A160" s="41"/>
      <c r="B160" s="14"/>
      <c r="C160" s="48">
        <v>154.03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hidden="1" customHeight="1" x14ac:dyDescent="0.3">
      <c r="A161" s="41"/>
      <c r="B161" s="14"/>
      <c r="C161" s="48">
        <v>155.06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hidden="1" customHeight="1" x14ac:dyDescent="0.3">
      <c r="A162" s="41"/>
      <c r="B162" s="14"/>
      <c r="C162" s="48">
        <v>156.09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hidden="1" customHeight="1" x14ac:dyDescent="0.3">
      <c r="A163" s="41"/>
      <c r="B163" s="14"/>
      <c r="C163" s="48">
        <v>157.12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hidden="1" customHeight="1" x14ac:dyDescent="0.3">
      <c r="A164" s="41"/>
      <c r="B164" s="14"/>
      <c r="C164" s="48">
        <v>158.15</v>
      </c>
      <c r="D164" s="37"/>
      <c r="E164" s="18"/>
      <c r="F164" s="19"/>
      <c r="G164" s="20"/>
      <c r="H164" s="20"/>
      <c r="I164" s="20"/>
      <c r="J164" s="4"/>
      <c r="K164" s="2"/>
      <c r="L164" s="2"/>
    </row>
    <row r="165" spans="1:12" ht="15" hidden="1" customHeight="1" x14ac:dyDescent="0.3">
      <c r="A165" s="41"/>
      <c r="B165" s="14"/>
      <c r="C165" s="48">
        <v>159.18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12" ht="15" hidden="1" customHeight="1" x14ac:dyDescent="0.3">
      <c r="A166" s="41"/>
      <c r="B166" s="14"/>
      <c r="C166" s="48">
        <v>160.21</v>
      </c>
      <c r="D166" s="37"/>
      <c r="E166" s="21"/>
      <c r="F166" s="20"/>
      <c r="G166" s="20"/>
      <c r="H166" s="20"/>
      <c r="I166" s="20"/>
      <c r="J166" s="4"/>
      <c r="K166" s="2"/>
      <c r="L166" s="2"/>
    </row>
    <row r="167" spans="1:12" ht="15" hidden="1" customHeight="1" x14ac:dyDescent="0.3">
      <c r="A167" s="41"/>
      <c r="B167" s="14"/>
      <c r="C167" s="48">
        <v>161.24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12" ht="15" hidden="1" customHeight="1" x14ac:dyDescent="0.3">
      <c r="A168" s="41"/>
      <c r="B168" s="14"/>
      <c r="C168" s="48">
        <v>162.27000000000001</v>
      </c>
      <c r="D168" s="3"/>
      <c r="E168" s="80"/>
      <c r="F168" s="19"/>
      <c r="G168" s="20"/>
      <c r="H168" s="20"/>
      <c r="I168" s="20"/>
      <c r="J168" s="4"/>
      <c r="K168" s="2"/>
      <c r="L168" s="2"/>
    </row>
    <row r="169" spans="1:12" ht="15" hidden="1" customHeight="1" x14ac:dyDescent="0.3">
      <c r="A169" s="41"/>
      <c r="B169" s="14"/>
      <c r="C169" s="48">
        <v>163.30000000000001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12" ht="15" hidden="1" customHeight="1" x14ac:dyDescent="0.3">
      <c r="A170" s="41"/>
      <c r="B170" s="14"/>
      <c r="C170" s="48">
        <v>164.33</v>
      </c>
      <c r="D170" s="37"/>
      <c r="E170" s="18"/>
      <c r="F170" s="19"/>
      <c r="G170" s="20"/>
      <c r="H170" s="20"/>
      <c r="I170" s="20"/>
      <c r="J170" s="4"/>
      <c r="K170" s="2"/>
      <c r="L170" s="2"/>
    </row>
    <row r="171" spans="1:12" ht="15" hidden="1" customHeight="1" x14ac:dyDescent="0.3">
      <c r="A171" s="41"/>
      <c r="B171" s="14"/>
      <c r="C171" s="48">
        <v>165.36</v>
      </c>
      <c r="D171" s="37"/>
      <c r="E171" s="21"/>
      <c r="F171" s="19"/>
      <c r="G171" s="20"/>
      <c r="H171" s="20"/>
      <c r="I171" s="20"/>
      <c r="J171" s="4"/>
      <c r="K171" s="2"/>
      <c r="L171" s="2"/>
    </row>
    <row r="172" spans="1:12" ht="15" hidden="1" customHeight="1" x14ac:dyDescent="0.3">
      <c r="A172" s="41"/>
      <c r="B172" s="14"/>
      <c r="C172" s="48">
        <v>166.39</v>
      </c>
      <c r="D172" s="15"/>
      <c r="E172" s="18"/>
      <c r="F172" s="19"/>
      <c r="G172" s="20"/>
      <c r="H172" s="20"/>
      <c r="I172" s="20"/>
      <c r="J172" s="4"/>
      <c r="K172" s="2"/>
      <c r="L172" s="2"/>
    </row>
    <row r="173" spans="1:12" ht="15" hidden="1" customHeight="1" x14ac:dyDescent="0.3">
      <c r="A173" s="41"/>
      <c r="B173" s="14"/>
      <c r="C173" s="48">
        <v>167.42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hidden="1" customHeight="1" x14ac:dyDescent="0.3">
      <c r="A174" s="41"/>
      <c r="B174" s="14"/>
      <c r="C174" s="48">
        <v>168.45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12" ht="15" hidden="1" customHeight="1" x14ac:dyDescent="0.3">
      <c r="A175" s="41"/>
      <c r="B175" s="14"/>
      <c r="C175" s="48">
        <v>169.48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hidden="1" customHeight="1" x14ac:dyDescent="0.3">
      <c r="A176" s="41"/>
      <c r="B176" s="14"/>
      <c r="C176" s="48">
        <v>170.51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/>
      <c r="D177" s="37"/>
      <c r="E177" s="18"/>
      <c r="F177" s="19"/>
      <c r="G177" s="20"/>
      <c r="H177" s="20"/>
      <c r="I177" s="20"/>
      <c r="J177" s="44"/>
      <c r="K177" s="2"/>
      <c r="L177" s="2"/>
      <c r="IL177"/>
    </row>
    <row r="178" spans="1:246" ht="15" customHeight="1" x14ac:dyDescent="0.3">
      <c r="A178" s="42"/>
      <c r="B178" s="28" t="s">
        <v>15</v>
      </c>
      <c r="C178" s="49"/>
      <c r="D178" s="29"/>
      <c r="E178" s="30"/>
      <c r="F178" s="31">
        <f>SUM(F3:F177)</f>
        <v>-1105</v>
      </c>
      <c r="G178" s="32">
        <f>SUM(G3:G177)</f>
        <v>-10076.759999999998</v>
      </c>
      <c r="H178" s="32">
        <f>SUM(H3:H177)</f>
        <v>0</v>
      </c>
      <c r="I178" s="32">
        <f>SUM(I3:I177)</f>
        <v>-169.03</v>
      </c>
      <c r="J178" s="2"/>
      <c r="K178" s="2"/>
      <c r="L178" s="2"/>
    </row>
    <row r="179" spans="1:246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2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  <c r="L241" s="2"/>
    </row>
    <row r="242" spans="1:12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  <c r="L242" s="2"/>
    </row>
    <row r="243" spans="1:12" ht="15" customHeight="1" x14ac:dyDescent="0.3">
      <c r="B243" s="17"/>
      <c r="C243" s="17"/>
      <c r="I243" s="17"/>
    </row>
    <row r="244" spans="1:12" ht="15" customHeight="1" x14ac:dyDescent="0.3">
      <c r="B244" s="17"/>
      <c r="I244" s="17"/>
    </row>
  </sheetData>
  <autoFilter ref="B2:J176" xr:uid="{00000000-0009-0000-0000-000001000000}">
    <filterColumn colId="3">
      <filters>
        <filter val="Miete"/>
      </filters>
    </filterColumn>
  </autoFilter>
  <mergeCells count="1">
    <mergeCell ref="B1:I1"/>
  </mergeCells>
  <conditionalFormatting sqref="A3:A242">
    <cfRule type="cellIs" dxfId="18" priority="481" stopIfTrue="1" operator="lessThan">
      <formula>0</formula>
    </cfRule>
  </conditionalFormatting>
  <conditionalFormatting sqref="B127:B142">
    <cfRule type="cellIs" dxfId="17" priority="464" stopIfTrue="1" operator="lessThan">
      <formula>0</formula>
    </cfRule>
  </conditionalFormatting>
  <conditionalFormatting sqref="B156:B244">
    <cfRule type="cellIs" dxfId="16" priority="21" stopIfTrue="1" operator="lessThan">
      <formula>0</formula>
    </cfRule>
  </conditionalFormatting>
  <conditionalFormatting sqref="C155 C157 C159 C161 C163 C165 C167 C173 C175">
    <cfRule type="cellIs" dxfId="15" priority="22" stopIfTrue="1" operator="lessThan">
      <formula>0</formula>
    </cfRule>
  </conditionalFormatting>
  <conditionalFormatting sqref="C177:C243 J179 I179:I244">
    <cfRule type="cellIs" dxfId="14" priority="711" stopIfTrue="1" operator="lessThan">
      <formula>0</formula>
    </cfRule>
  </conditionalFormatting>
  <conditionalFormatting sqref="D130">
    <cfRule type="cellIs" dxfId="13" priority="479" stopIfTrue="1" operator="lessThan">
      <formula>0</formula>
    </cfRule>
  </conditionalFormatting>
  <conditionalFormatting sqref="D149">
    <cfRule type="cellIs" dxfId="12" priority="66" stopIfTrue="1" operator="lessThan">
      <formula>0</formula>
    </cfRule>
  </conditionalFormatting>
  <conditionalFormatting sqref="D154">
    <cfRule type="cellIs" dxfId="11" priority="450" stopIfTrue="1" operator="lessThan">
      <formula>0</formula>
    </cfRule>
  </conditionalFormatting>
  <conditionalFormatting sqref="D158:D163">
    <cfRule type="cellIs" dxfId="10" priority="7" stopIfTrue="1" operator="lessThan">
      <formula>0</formula>
    </cfRule>
  </conditionalFormatting>
  <conditionalFormatting sqref="D164:E165 D166:D167 C169:D169 D170:E170 C171:D171">
    <cfRule type="cellIs" dxfId="9" priority="14" stopIfTrue="1" operator="lessThan">
      <formula>0</formula>
    </cfRule>
  </conditionalFormatting>
  <conditionalFormatting sqref="D177:E179">
    <cfRule type="cellIs" dxfId="8" priority="16" stopIfTrue="1" operator="lessThan">
      <formula>0</formula>
    </cfRule>
  </conditionalFormatting>
  <conditionalFormatting sqref="D179:H242">
    <cfRule type="cellIs" dxfId="7" priority="663" stopIfTrue="1" operator="lessThan">
      <formula>0</formula>
    </cfRule>
  </conditionalFormatting>
  <conditionalFormatting sqref="E3:E121 E123:E129 E131:E144 E146:E163">
    <cfRule type="cellIs" dxfId="6" priority="2" stopIfTrue="1" operator="lessThan">
      <formula>0</formula>
    </cfRule>
  </conditionalFormatting>
  <conditionalFormatting sqref="E166:E169">
    <cfRule type="cellIs" dxfId="5" priority="4" stopIfTrue="1" operator="lessThan">
      <formula>0</formula>
    </cfRule>
  </conditionalFormatting>
  <conditionalFormatting sqref="E171:E176">
    <cfRule type="cellIs" dxfId="4" priority="3" stopIfTrue="1" operator="lessThan">
      <formula>0</formula>
    </cfRule>
  </conditionalFormatting>
  <conditionalFormatting sqref="F62:F63">
    <cfRule type="cellIs" dxfId="3" priority="372" stopIfTrue="1" operator="lessThan">
      <formula>0</formula>
    </cfRule>
  </conditionalFormatting>
  <conditionalFormatting sqref="F66:F67">
    <cfRule type="cellIs" dxfId="2" priority="1" stopIfTrue="1" operator="lessThan">
      <formula>0</formula>
    </cfRule>
  </conditionalFormatting>
  <conditionalFormatting sqref="F96:F97">
    <cfRule type="cellIs" dxfId="1" priority="124" stopIfTrue="1" operator="lessThan">
      <formula>0</formula>
    </cfRule>
  </conditionalFormatting>
  <conditionalFormatting sqref="F114">
    <cfRule type="cellIs" dxfId="0" priority="8" stopIfTrue="1" operator="lessThan">
      <formula>0</formula>
    </cfRule>
  </conditionalFormatting>
  <dataValidations count="2">
    <dataValidation type="list" allowBlank="1" showInputMessage="1" showErrorMessage="1" sqref="E3:E51 E146:E177 E53:E121 E123:E129 E131:E144" xr:uid="{00000000-0002-0000-0100-000000000000}">
      <formula1>$L$1:$L$19</formula1>
    </dataValidation>
    <dataValidation type="list" allowBlank="1" showInputMessage="1" showErrorMessage="1" sqref="E52" xr:uid="{2159CF4B-2649-4586-B851-DB145DFC2247}">
      <formula1>$J$1:$J$19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1" zoomScale="120" zoomScaleNormal="120" workbookViewId="0">
      <selection activeCell="H23" sqref="H23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0.44140625" style="1" bestFit="1" customWidth="1"/>
    <col min="3" max="3" width="18.88671875" style="1" bestFit="1" customWidth="1"/>
    <col min="4" max="4" width="16.21875" style="1" bestFit="1" customWidth="1"/>
    <col min="5" max="5" width="29.44140625" style="1" bestFit="1" customWidth="1"/>
    <col min="6" max="6" width="14.33203125" style="1" bestFit="1" customWidth="1"/>
    <col min="7" max="7" width="28.88671875" style="1" bestFit="1" customWidth="1"/>
    <col min="8" max="8" width="11" style="50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59"/>
      <c r="B1" s="59"/>
      <c r="C1" s="59"/>
      <c r="D1" s="59"/>
      <c r="E1" s="59"/>
      <c r="F1" s="43"/>
    </row>
    <row r="2" spans="1:64" ht="15" customHeight="1" thickBot="1" x14ac:dyDescent="0.35">
      <c r="A2" s="59"/>
      <c r="B2" s="51" t="s">
        <v>1</v>
      </c>
      <c r="C2"/>
      <c r="D2"/>
      <c r="E2"/>
      <c r="F2"/>
      <c r="G2"/>
    </row>
    <row r="3" spans="1:64" ht="15" customHeight="1" x14ac:dyDescent="0.3">
      <c r="A3" s="59"/>
      <c r="B3" s="61" t="s">
        <v>33</v>
      </c>
      <c r="C3" s="65" t="s">
        <v>34</v>
      </c>
      <c r="D3" s="66" t="s">
        <v>35</v>
      </c>
      <c r="E3" s="66" t="s">
        <v>36</v>
      </c>
      <c r="F3" s="67" t="s">
        <v>37</v>
      </c>
      <c r="G3"/>
      <c r="H3" s="53" t="s">
        <v>41</v>
      </c>
      <c r="I3" s="54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59"/>
      <c r="B4" s="62" t="s">
        <v>21</v>
      </c>
      <c r="C4" s="68"/>
      <c r="D4" s="69">
        <v>290.60000000000002</v>
      </c>
      <c r="E4" s="69"/>
      <c r="F4" s="70"/>
      <c r="G4"/>
      <c r="H4" s="55">
        <f t="shared" ref="H4:H9" si="0">SUM(C4:G4)</f>
        <v>290.60000000000002</v>
      </c>
      <c r="I4" s="56" t="s">
        <v>21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59"/>
      <c r="B5" s="60" t="s">
        <v>13</v>
      </c>
      <c r="C5" s="71"/>
      <c r="D5" s="52">
        <v>615</v>
      </c>
      <c r="E5" s="52"/>
      <c r="F5" s="72"/>
      <c r="G5"/>
      <c r="H5" s="55">
        <f t="shared" si="0"/>
        <v>615</v>
      </c>
      <c r="I5" s="56" t="s">
        <v>13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59"/>
      <c r="B6" s="60" t="s">
        <v>12</v>
      </c>
      <c r="C6" s="71"/>
      <c r="D6" s="52">
        <v>1739</v>
      </c>
      <c r="E6" s="52"/>
      <c r="F6" s="72">
        <v>100</v>
      </c>
      <c r="G6"/>
      <c r="H6" s="55">
        <f t="shared" si="0"/>
        <v>1839</v>
      </c>
      <c r="I6" s="56" t="s">
        <v>12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59"/>
      <c r="B7" s="60" t="s">
        <v>0</v>
      </c>
      <c r="C7" s="71">
        <v>1105</v>
      </c>
      <c r="D7" s="52">
        <v>2790.02</v>
      </c>
      <c r="E7" s="52"/>
      <c r="F7" s="72">
        <v>3797</v>
      </c>
      <c r="G7"/>
      <c r="H7" s="55">
        <f t="shared" si="0"/>
        <v>7692.02</v>
      </c>
      <c r="I7" s="56" t="s">
        <v>0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thickBot="1" x14ac:dyDescent="0.35">
      <c r="A8" s="59"/>
      <c r="B8" s="63" t="s">
        <v>25</v>
      </c>
      <c r="C8" s="71"/>
      <c r="D8" s="52">
        <v>1392.2</v>
      </c>
      <c r="E8" s="52"/>
      <c r="F8" s="72">
        <v>0</v>
      </c>
      <c r="G8"/>
      <c r="H8" s="55">
        <f t="shared" si="0"/>
        <v>1392.2</v>
      </c>
      <c r="I8" s="56" t="s">
        <v>25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thickBot="1" x14ac:dyDescent="0.35">
      <c r="A9" s="59"/>
      <c r="B9" s="64" t="s">
        <v>38</v>
      </c>
      <c r="C9" s="73">
        <v>1105</v>
      </c>
      <c r="D9" s="74">
        <v>6826.82</v>
      </c>
      <c r="E9" s="74"/>
      <c r="F9" s="75">
        <v>3897</v>
      </c>
      <c r="G9"/>
      <c r="H9" s="55">
        <f t="shared" si="0"/>
        <v>11828.82</v>
      </c>
      <c r="I9" s="77" t="s">
        <v>39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/>
      <c r="C10"/>
      <c r="D10"/>
      <c r="E10"/>
      <c r="F10"/>
      <c r="G10"/>
      <c r="H10" s="55"/>
      <c r="I10" s="77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/>
      <c r="C11"/>
      <c r="D11"/>
      <c r="E11"/>
      <c r="F11"/>
      <c r="G11"/>
      <c r="H11" s="76"/>
      <c r="I11" s="77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1" t="s">
        <v>2</v>
      </c>
      <c r="C15"/>
      <c r="D15"/>
      <c r="E15"/>
      <c r="F15"/>
    </row>
    <row r="16" spans="1:64" ht="15" customHeight="1" x14ac:dyDescent="0.3">
      <c r="A16" s="43"/>
      <c r="B16" s="61" t="s">
        <v>33</v>
      </c>
      <c r="C16" s="65" t="s">
        <v>34</v>
      </c>
      <c r="D16" s="66" t="s">
        <v>35</v>
      </c>
      <c r="E16" s="66" t="s">
        <v>36</v>
      </c>
      <c r="F16" s="67" t="s">
        <v>37</v>
      </c>
      <c r="G16"/>
      <c r="H16" s="53" t="s">
        <v>41</v>
      </c>
      <c r="I16" s="57"/>
    </row>
    <row r="17" spans="1:9" ht="15" customHeight="1" x14ac:dyDescent="0.3">
      <c r="A17" s="43"/>
      <c r="B17" s="62" t="s">
        <v>14</v>
      </c>
      <c r="C17" s="68"/>
      <c r="D17" s="69">
        <v>-496.19000000000005</v>
      </c>
      <c r="E17" s="69"/>
      <c r="F17" s="70"/>
      <c r="G17"/>
      <c r="H17" s="55">
        <f t="shared" ref="H17:H24" si="1">SUM(C17:G17)</f>
        <v>-496.19000000000005</v>
      </c>
      <c r="I17" s="56" t="s">
        <v>14</v>
      </c>
    </row>
    <row r="18" spans="1:9" ht="15" customHeight="1" x14ac:dyDescent="0.3">
      <c r="A18" s="43"/>
      <c r="B18" s="60" t="s">
        <v>22</v>
      </c>
      <c r="C18" s="71"/>
      <c r="D18" s="52">
        <v>-263.5</v>
      </c>
      <c r="E18" s="52"/>
      <c r="F18" s="72"/>
      <c r="G18"/>
      <c r="H18" s="55">
        <f t="shared" si="1"/>
        <v>-263.5</v>
      </c>
      <c r="I18" s="56" t="s">
        <v>22</v>
      </c>
    </row>
    <row r="19" spans="1:9" ht="15" customHeight="1" x14ac:dyDescent="0.3">
      <c r="A19" s="43"/>
      <c r="B19" s="60" t="s">
        <v>21</v>
      </c>
      <c r="C19" s="71"/>
      <c r="D19" s="52">
        <v>-2907.2299999999996</v>
      </c>
      <c r="E19" s="52"/>
      <c r="F19" s="72">
        <v>-167.43</v>
      </c>
      <c r="G19"/>
      <c r="H19" s="55">
        <f t="shared" si="1"/>
        <v>-3074.6599999999994</v>
      </c>
      <c r="I19" s="56" t="s">
        <v>21</v>
      </c>
    </row>
    <row r="20" spans="1:9" ht="15" customHeight="1" x14ac:dyDescent="0.3">
      <c r="A20" s="43"/>
      <c r="B20" s="60" t="s">
        <v>13</v>
      </c>
      <c r="C20" s="71"/>
      <c r="D20" s="52">
        <v>-2086.21</v>
      </c>
      <c r="E20" s="52"/>
      <c r="F20" s="72">
        <v>-1.6</v>
      </c>
      <c r="G20"/>
      <c r="H20" s="55">
        <f t="shared" si="1"/>
        <v>-2087.81</v>
      </c>
      <c r="I20" s="56" t="s">
        <v>13</v>
      </c>
    </row>
    <row r="21" spans="1:9" ht="15" customHeight="1" x14ac:dyDescent="0.3">
      <c r="A21" s="43"/>
      <c r="B21" s="60" t="s">
        <v>12</v>
      </c>
      <c r="C21" s="71"/>
      <c r="D21" s="52">
        <v>-1270</v>
      </c>
      <c r="E21" s="52"/>
      <c r="F21" s="72"/>
      <c r="G21"/>
      <c r="H21" s="55">
        <f t="shared" si="1"/>
        <v>-1270</v>
      </c>
      <c r="I21" s="56" t="s">
        <v>12</v>
      </c>
    </row>
    <row r="22" spans="1:9" ht="15" customHeight="1" x14ac:dyDescent="0.3">
      <c r="A22" s="43"/>
      <c r="B22" s="60" t="s">
        <v>0</v>
      </c>
      <c r="C22" s="71">
        <v>-300</v>
      </c>
      <c r="D22" s="52">
        <v>-2228.1300000000006</v>
      </c>
      <c r="E22" s="52"/>
      <c r="F22" s="72"/>
      <c r="G22"/>
      <c r="H22" s="55">
        <f t="shared" si="1"/>
        <v>-2528.1300000000006</v>
      </c>
      <c r="I22" s="56" t="s">
        <v>0</v>
      </c>
    </row>
    <row r="23" spans="1:9" ht="15" customHeight="1" thickBot="1" x14ac:dyDescent="0.35">
      <c r="A23" s="43"/>
      <c r="B23" s="63" t="s">
        <v>18</v>
      </c>
      <c r="C23" s="71"/>
      <c r="D23" s="52">
        <v>-817.5</v>
      </c>
      <c r="E23" s="52"/>
      <c r="F23" s="72"/>
      <c r="G23"/>
      <c r="H23" s="55">
        <f t="shared" si="1"/>
        <v>-817.5</v>
      </c>
      <c r="I23" s="56" t="s">
        <v>18</v>
      </c>
    </row>
    <row r="24" spans="1:9" ht="15" customHeight="1" thickBot="1" x14ac:dyDescent="0.35">
      <c r="A24" s="43"/>
      <c r="B24" s="64" t="s">
        <v>38</v>
      </c>
      <c r="C24" s="73">
        <v>-300</v>
      </c>
      <c r="D24" s="74">
        <v>-10068.76</v>
      </c>
      <c r="E24" s="74"/>
      <c r="F24" s="75">
        <v>-169.03</v>
      </c>
      <c r="G24"/>
      <c r="H24" s="55">
        <f t="shared" si="1"/>
        <v>-10537.79</v>
      </c>
      <c r="I24" s="77" t="s">
        <v>40</v>
      </c>
    </row>
    <row r="25" spans="1:9" ht="15" customHeight="1" thickBot="1" x14ac:dyDescent="0.35">
      <c r="A25" s="43"/>
      <c r="B25"/>
      <c r="C25"/>
      <c r="D25"/>
      <c r="E25"/>
      <c r="F25"/>
      <c r="G25"/>
      <c r="H25" s="76"/>
      <c r="I25" s="77"/>
    </row>
    <row r="26" spans="1:9" ht="15" customHeight="1" x14ac:dyDescent="0.3">
      <c r="B26"/>
      <c r="C26"/>
      <c r="D26"/>
      <c r="E26"/>
      <c r="F26"/>
      <c r="G26"/>
      <c r="I26" s="58"/>
    </row>
    <row r="27" spans="1:9" ht="15" customHeight="1" x14ac:dyDescent="0.3">
      <c r="B27"/>
      <c r="C27"/>
      <c r="D27"/>
      <c r="E27"/>
      <c r="F27"/>
      <c r="G27"/>
      <c r="I27" s="58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2026-01-31T12:12:50Z</dcterms:modified>
</cp:coreProperties>
</file>