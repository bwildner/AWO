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BB318491-FA50-4651-A8BB-428EF044F19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Ausgaben!$B$2:$J$170</definedName>
    <definedName name="_xlnm._FilterDatabase" localSheetId="0" hidden="1">Einnahmen!$A$2:$H$111</definedName>
    <definedName name="_xlnm.Print_Area" localSheetId="1">Ausgaben!$A$1:$I$174</definedName>
    <definedName name="_xlnm.Print_Area" localSheetId="0">Einnahmen!$A$1:$H$119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5" i="1" l="1"/>
  <c r="H115" i="4" l="1"/>
  <c r="G115" i="4"/>
  <c r="E115" i="4"/>
  <c r="F115" i="4"/>
  <c r="F175" i="1"/>
  <c r="H175" i="1"/>
  <c r="I175" i="1"/>
  <c r="H117" i="4" l="1"/>
  <c r="F117" i="4"/>
  <c r="E117" i="4"/>
  <c r="G117" i="4"/>
  <c r="D119" i="4" l="1"/>
</calcChain>
</file>

<file path=xl/sharedStrings.xml><?xml version="1.0" encoding="utf-8"?>
<sst xmlns="http://schemas.openxmlformats.org/spreadsheetml/2006/main" count="482" uniqueCount="139">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</sst>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0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4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0"/>
  <sheetViews>
    <sheetView showGridLines="0" tabSelected="1" zoomScaleNormal="100" workbookViewId="0">
      <pane ySplit="2" topLeftCell="A57" activePane="bottomLeft" state="frozen"/>
      <selection pane="bottomLeft" activeCell="H70" sqref="H70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45789</v>
      </c>
      <c r="B31" s="15">
        <v>27</v>
      </c>
      <c r="C31" s="3" t="s">
        <v>90</v>
      </c>
      <c r="D31" s="18" t="s">
        <v>0</v>
      </c>
      <c r="E31" s="19"/>
      <c r="F31" s="20">
        <v>10</v>
      </c>
      <c r="G31" s="17"/>
      <c r="H31" s="17"/>
      <c r="I31" s="2"/>
      <c r="J31" s="2"/>
    </row>
    <row r="32" spans="1:10" s="1" customFormat="1" ht="15" customHeight="1" x14ac:dyDescent="0.3">
      <c r="A32" s="14">
        <v>45790</v>
      </c>
      <c r="B32" s="15">
        <v>28</v>
      </c>
      <c r="C32" s="3" t="s">
        <v>91</v>
      </c>
      <c r="D32" s="18" t="s">
        <v>0</v>
      </c>
      <c r="E32" s="19"/>
      <c r="F32" s="20">
        <v>38</v>
      </c>
      <c r="G32" s="17"/>
      <c r="H32" s="17"/>
      <c r="I32" s="2"/>
      <c r="J32" s="2"/>
    </row>
    <row r="33" spans="1:10" s="1" customFormat="1" ht="15" customHeight="1" x14ac:dyDescent="0.3">
      <c r="A33" s="14">
        <v>45791</v>
      </c>
      <c r="B33" s="15">
        <v>29</v>
      </c>
      <c r="C33" s="15" t="s">
        <v>46</v>
      </c>
      <c r="D33" s="18" t="s">
        <v>0</v>
      </c>
      <c r="E33" s="19"/>
      <c r="F33" s="20">
        <v>131</v>
      </c>
      <c r="G33" s="17"/>
      <c r="H33" s="17"/>
      <c r="I33" s="2"/>
      <c r="J33" s="2"/>
    </row>
    <row r="34" spans="1:10" s="1" customFormat="1" ht="15" customHeight="1" x14ac:dyDescent="0.3">
      <c r="A34" s="14">
        <v>45793</v>
      </c>
      <c r="B34" s="15" t="s">
        <v>92</v>
      </c>
      <c r="C34" s="15" t="s">
        <v>93</v>
      </c>
      <c r="D34" s="18" t="s">
        <v>0</v>
      </c>
      <c r="E34" s="16"/>
      <c r="F34" s="17">
        <v>136.52000000000001</v>
      </c>
      <c r="G34" s="17"/>
      <c r="H34" s="17"/>
      <c r="I34" s="2"/>
      <c r="J34" s="2"/>
    </row>
    <row r="35" spans="1:10" s="1" customFormat="1" ht="15" customHeight="1" x14ac:dyDescent="0.3">
      <c r="A35" s="14">
        <v>45801</v>
      </c>
      <c r="B35" s="15">
        <v>30</v>
      </c>
      <c r="C35" s="15" t="s">
        <v>88</v>
      </c>
      <c r="D35" s="18" t="s">
        <v>12</v>
      </c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31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32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33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34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48">
        <v>35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15">
        <v>36</v>
      </c>
      <c r="C41" s="37" t="s">
        <v>96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45803</v>
      </c>
      <c r="B42" s="15">
        <v>37</v>
      </c>
      <c r="C42" s="37" t="s">
        <v>97</v>
      </c>
      <c r="D42" s="18" t="s">
        <v>0</v>
      </c>
      <c r="E42" s="16"/>
      <c r="F42" s="17">
        <v>85</v>
      </c>
      <c r="G42" s="17"/>
      <c r="H42" s="17"/>
      <c r="I42" s="2"/>
      <c r="J42" s="2"/>
    </row>
    <row r="43" spans="1:10" s="1" customFormat="1" ht="15" customHeight="1" x14ac:dyDescent="0.3">
      <c r="A43" s="14">
        <v>45801</v>
      </c>
      <c r="B43" s="15">
        <v>38</v>
      </c>
      <c r="C43" s="15" t="s">
        <v>88</v>
      </c>
      <c r="D43" s="18" t="s">
        <v>12</v>
      </c>
      <c r="E43" s="16"/>
      <c r="F43" s="17"/>
      <c r="G43" s="17"/>
      <c r="H43" s="17"/>
      <c r="I43" s="2"/>
      <c r="J43" s="2"/>
    </row>
    <row r="44" spans="1:10" s="1" customFormat="1" ht="15" customHeight="1" x14ac:dyDescent="0.3">
      <c r="A44" s="14">
        <v>45804</v>
      </c>
      <c r="B44" s="48">
        <v>39</v>
      </c>
      <c r="C44" s="37" t="s">
        <v>98</v>
      </c>
      <c r="D44" s="18" t="s">
        <v>0</v>
      </c>
      <c r="E44" s="19"/>
      <c r="F44" s="20"/>
      <c r="G44" s="17"/>
      <c r="H44" s="17">
        <v>20</v>
      </c>
      <c r="I44" s="2"/>
      <c r="J44" s="2"/>
    </row>
    <row r="45" spans="1:10" s="1" customFormat="1" ht="15" customHeight="1" x14ac:dyDescent="0.3">
      <c r="A45" s="14">
        <v>45810</v>
      </c>
      <c r="B45" s="15">
        <v>40</v>
      </c>
      <c r="C45" s="3" t="s">
        <v>46</v>
      </c>
      <c r="D45" s="18" t="s">
        <v>0</v>
      </c>
      <c r="E45" s="19"/>
      <c r="F45" s="20">
        <v>101</v>
      </c>
      <c r="G45" s="17"/>
      <c r="H45" s="17"/>
      <c r="I45" s="2"/>
      <c r="J45" s="2"/>
    </row>
    <row r="46" spans="1:10" s="1" customFormat="1" ht="15" customHeight="1" x14ac:dyDescent="0.3">
      <c r="A46" s="14">
        <v>45831</v>
      </c>
      <c r="B46" s="15">
        <v>41</v>
      </c>
      <c r="C46" s="3" t="s">
        <v>105</v>
      </c>
      <c r="D46" s="18" t="s">
        <v>12</v>
      </c>
      <c r="E46" s="19"/>
      <c r="F46" s="20">
        <v>50</v>
      </c>
      <c r="G46" s="17"/>
      <c r="H46" s="17"/>
      <c r="I46" s="2"/>
      <c r="J46" s="2"/>
    </row>
    <row r="47" spans="1:10" s="1" customFormat="1" ht="15" customHeight="1" x14ac:dyDescent="0.3">
      <c r="A47" s="14">
        <v>45833</v>
      </c>
      <c r="B47" s="15">
        <v>42</v>
      </c>
      <c r="C47" s="3" t="s">
        <v>106</v>
      </c>
      <c r="D47" s="18" t="s">
        <v>25</v>
      </c>
      <c r="E47" s="16"/>
      <c r="F47" s="17">
        <v>26.54</v>
      </c>
      <c r="G47" s="17"/>
      <c r="H47" s="17"/>
      <c r="I47" s="2"/>
      <c r="J47" s="2"/>
    </row>
    <row r="48" spans="1:10" s="1" customFormat="1" ht="15" customHeight="1" x14ac:dyDescent="0.3">
      <c r="A48" s="14">
        <v>45838</v>
      </c>
      <c r="B48" s="15">
        <v>43</v>
      </c>
      <c r="C48" s="3" t="s">
        <v>46</v>
      </c>
      <c r="D48" s="18" t="s">
        <v>0</v>
      </c>
      <c r="E48" s="19"/>
      <c r="F48" s="20">
        <v>148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44</v>
      </c>
      <c r="C49" s="3" t="s">
        <v>101</v>
      </c>
      <c r="D49" s="18" t="s">
        <v>13</v>
      </c>
      <c r="E49" s="16"/>
      <c r="F49" s="17">
        <v>65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45</v>
      </c>
      <c r="C50" s="3" t="s">
        <v>110</v>
      </c>
      <c r="D50" s="18" t="s">
        <v>13</v>
      </c>
      <c r="E50" s="16"/>
      <c r="F50" s="17">
        <v>300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46</v>
      </c>
      <c r="C51" s="3" t="s">
        <v>46</v>
      </c>
      <c r="D51" s="18" t="s">
        <v>0</v>
      </c>
      <c r="E51" s="19"/>
      <c r="F51" s="20">
        <v>78</v>
      </c>
      <c r="G51" s="17"/>
      <c r="H51" s="17"/>
      <c r="I51" s="2"/>
      <c r="J51" s="2"/>
    </row>
    <row r="52" spans="1:10" s="1" customFormat="1" ht="15" customHeight="1" x14ac:dyDescent="0.3">
      <c r="A52" s="14">
        <v>45840</v>
      </c>
      <c r="B52" s="15">
        <v>47</v>
      </c>
      <c r="C52" s="3" t="s">
        <v>111</v>
      </c>
      <c r="D52" s="18" t="s">
        <v>12</v>
      </c>
      <c r="E52" s="16"/>
      <c r="F52" s="17">
        <v>0</v>
      </c>
      <c r="G52" s="17"/>
      <c r="H52" s="17"/>
      <c r="I52" s="2"/>
      <c r="J52" s="2"/>
    </row>
    <row r="53" spans="1:10" s="1" customFormat="1" ht="15" customHeight="1" x14ac:dyDescent="0.3">
      <c r="A53" s="14">
        <v>45844</v>
      </c>
      <c r="B53" s="15" t="s">
        <v>123</v>
      </c>
      <c r="C53" s="3" t="s">
        <v>122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45845</v>
      </c>
      <c r="B54" s="15">
        <v>48</v>
      </c>
      <c r="C54" s="3" t="s">
        <v>113</v>
      </c>
      <c r="D54" s="18" t="s">
        <v>12</v>
      </c>
      <c r="E54" s="19"/>
      <c r="F54" s="17">
        <v>59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49</v>
      </c>
      <c r="C55" s="3" t="s">
        <v>114</v>
      </c>
      <c r="D55" s="18" t="s">
        <v>0</v>
      </c>
      <c r="E55" s="19"/>
      <c r="F55" s="20"/>
      <c r="G55" s="17"/>
      <c r="H55" s="17">
        <v>1131</v>
      </c>
      <c r="I55" s="2"/>
      <c r="J55" s="2"/>
    </row>
    <row r="56" spans="1:10" s="1" customFormat="1" ht="15" customHeight="1" x14ac:dyDescent="0.3">
      <c r="A56" s="14">
        <v>45848</v>
      </c>
      <c r="B56" s="15" t="s">
        <v>133</v>
      </c>
      <c r="C56" s="3" t="s">
        <v>125</v>
      </c>
      <c r="D56" s="18" t="s">
        <v>0</v>
      </c>
      <c r="E56" s="16"/>
      <c r="F56" s="17"/>
      <c r="G56" s="17"/>
      <c r="H56" s="17">
        <v>75</v>
      </c>
      <c r="I56" s="2"/>
      <c r="J56" s="2"/>
    </row>
    <row r="57" spans="1:10" s="1" customFormat="1" ht="15" customHeight="1" x14ac:dyDescent="0.3">
      <c r="A57" s="14">
        <v>45853</v>
      </c>
      <c r="B57" s="15">
        <v>50</v>
      </c>
      <c r="C57" s="3" t="s">
        <v>117</v>
      </c>
      <c r="D57" s="18" t="s">
        <v>12</v>
      </c>
      <c r="E57" s="16"/>
      <c r="F57" s="17">
        <v>80</v>
      </c>
      <c r="G57" s="17"/>
      <c r="H57" s="17"/>
      <c r="I57" s="2"/>
      <c r="J57" s="2"/>
    </row>
    <row r="58" spans="1:10" s="1" customFormat="1" ht="15" customHeight="1" x14ac:dyDescent="0.3">
      <c r="A58" s="14">
        <v>45861</v>
      </c>
      <c r="B58" s="15">
        <v>51</v>
      </c>
      <c r="C58" s="3" t="s">
        <v>119</v>
      </c>
      <c r="D58" s="18" t="s">
        <v>25</v>
      </c>
      <c r="E58" s="16"/>
      <c r="F58" s="17">
        <v>1339.8</v>
      </c>
      <c r="G58" s="17"/>
      <c r="H58" s="17"/>
      <c r="I58" s="2"/>
      <c r="J58" s="2"/>
    </row>
    <row r="59" spans="1:10" s="1" customFormat="1" ht="15" customHeight="1" x14ac:dyDescent="0.3">
      <c r="A59" s="14">
        <v>45866</v>
      </c>
      <c r="B59" s="15">
        <v>52</v>
      </c>
      <c r="C59" s="3" t="s">
        <v>120</v>
      </c>
      <c r="D59" s="18" t="s">
        <v>12</v>
      </c>
      <c r="E59" s="16"/>
      <c r="F59" s="17">
        <v>45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53</v>
      </c>
      <c r="C60" s="3" t="s">
        <v>121</v>
      </c>
      <c r="D60" s="18" t="s">
        <v>12</v>
      </c>
      <c r="E60" s="16"/>
      <c r="F60" s="17">
        <v>15</v>
      </c>
      <c r="G60" s="17"/>
      <c r="H60" s="17"/>
      <c r="I60" s="2"/>
      <c r="J60" s="2"/>
    </row>
    <row r="61" spans="1:10" s="1" customFormat="1" ht="15" customHeight="1" x14ac:dyDescent="0.3">
      <c r="A61" s="14">
        <v>45868</v>
      </c>
      <c r="B61" s="15">
        <v>54</v>
      </c>
      <c r="C61" s="3" t="s">
        <v>125</v>
      </c>
      <c r="D61" s="18" t="s">
        <v>0</v>
      </c>
      <c r="E61" s="16"/>
      <c r="F61" s="17">
        <v>110</v>
      </c>
      <c r="G61" s="17"/>
      <c r="H61" s="17"/>
      <c r="I61" s="2"/>
      <c r="J61" s="2"/>
    </row>
    <row r="62" spans="1:10" s="1" customFormat="1" ht="15" customHeight="1" x14ac:dyDescent="0.3">
      <c r="A62" s="14">
        <v>45869</v>
      </c>
      <c r="B62" s="15">
        <v>55</v>
      </c>
      <c r="C62" s="3" t="s">
        <v>126</v>
      </c>
      <c r="D62" s="18" t="s">
        <v>0</v>
      </c>
      <c r="E62" s="19"/>
      <c r="F62" s="17">
        <v>15</v>
      </c>
      <c r="G62" s="17"/>
      <c r="H62" s="17"/>
      <c r="I62" s="2"/>
      <c r="J62" s="2"/>
    </row>
    <row r="63" spans="1:10" s="1" customFormat="1" ht="15" customHeight="1" x14ac:dyDescent="0.3">
      <c r="A63" s="14">
        <v>45876</v>
      </c>
      <c r="B63" s="15">
        <v>56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45877</v>
      </c>
      <c r="B64" s="15">
        <v>57</v>
      </c>
      <c r="C64" s="3" t="s">
        <v>130</v>
      </c>
      <c r="D64" s="18" t="s">
        <v>13</v>
      </c>
      <c r="E64" s="16"/>
      <c r="F64" s="17">
        <v>250</v>
      </c>
      <c r="G64" s="17"/>
      <c r="H64" s="17"/>
      <c r="I64" s="2"/>
      <c r="J64" s="2"/>
    </row>
    <row r="65" spans="1:10" s="1" customFormat="1" ht="15" customHeight="1" x14ac:dyDescent="0.3">
      <c r="A65" s="14">
        <v>45887</v>
      </c>
      <c r="B65" s="15" t="s">
        <v>132</v>
      </c>
      <c r="C65" s="3" t="s">
        <v>125</v>
      </c>
      <c r="D65" s="18" t="s">
        <v>0</v>
      </c>
      <c r="E65" s="16"/>
      <c r="F65" s="17"/>
      <c r="G65" s="17"/>
      <c r="H65" s="17">
        <v>138</v>
      </c>
      <c r="I65" s="2"/>
      <c r="J65" s="2"/>
    </row>
    <row r="66" spans="1:10" s="1" customFormat="1" ht="15" customHeight="1" x14ac:dyDescent="0.3">
      <c r="A66" s="14">
        <v>45898</v>
      </c>
      <c r="B66" s="48">
        <v>58</v>
      </c>
      <c r="C66" s="3" t="s">
        <v>125</v>
      </c>
      <c r="D66" s="18" t="s">
        <v>0</v>
      </c>
      <c r="E66" s="16"/>
      <c r="F66" s="17">
        <v>160</v>
      </c>
      <c r="G66" s="17"/>
      <c r="H66" s="17"/>
      <c r="I66" s="2"/>
      <c r="J66" s="2"/>
    </row>
    <row r="67" spans="1:10" s="1" customFormat="1" ht="15" customHeight="1" x14ac:dyDescent="0.3">
      <c r="A67" s="14">
        <v>45936</v>
      </c>
      <c r="B67" s="48">
        <v>59</v>
      </c>
      <c r="C67" s="3" t="s">
        <v>125</v>
      </c>
      <c r="D67" s="18" t="s">
        <v>0</v>
      </c>
      <c r="E67" s="16"/>
      <c r="F67" s="17">
        <v>128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60</v>
      </c>
      <c r="C68" s="37" t="s">
        <v>137</v>
      </c>
      <c r="D68" s="18" t="s">
        <v>0</v>
      </c>
      <c r="E68" s="16"/>
      <c r="F68" s="17"/>
      <c r="G68" s="17"/>
      <c r="H68" s="17">
        <v>20</v>
      </c>
      <c r="I68" s="2"/>
      <c r="J68" s="2"/>
    </row>
    <row r="69" spans="1:10" s="1" customFormat="1" ht="15" customHeight="1" x14ac:dyDescent="0.3">
      <c r="A69" s="14">
        <v>45945</v>
      </c>
      <c r="B69" s="48">
        <v>61</v>
      </c>
      <c r="C69" s="3" t="s">
        <v>46</v>
      </c>
      <c r="D69" s="18" t="s">
        <v>0</v>
      </c>
      <c r="E69" s="16"/>
      <c r="F69" s="17"/>
      <c r="G69" s="17"/>
      <c r="H69" s="17">
        <v>76</v>
      </c>
      <c r="I69" s="2"/>
      <c r="J69" s="2"/>
    </row>
    <row r="70" spans="1:10" s="1" customFormat="1" ht="15" customHeight="1" x14ac:dyDescent="0.3">
      <c r="A70" s="14"/>
      <c r="B70" s="48">
        <v>62</v>
      </c>
      <c r="C70" s="3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63</v>
      </c>
      <c r="C71" s="37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48">
        <v>64</v>
      </c>
      <c r="C72" s="37"/>
      <c r="D72" s="18"/>
      <c r="E72" s="16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65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66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67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68</v>
      </c>
      <c r="C76" s="37"/>
      <c r="D76" s="18"/>
      <c r="E76" s="19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69</v>
      </c>
      <c r="C77" s="3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70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71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72</v>
      </c>
      <c r="C80" s="15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73</v>
      </c>
      <c r="C81" s="15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74</v>
      </c>
      <c r="C82" s="15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15">
        <v>75</v>
      </c>
      <c r="C83" s="15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76</v>
      </c>
      <c r="C84" s="37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77</v>
      </c>
      <c r="C85" s="3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78</v>
      </c>
      <c r="C86" s="3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48">
        <v>79</v>
      </c>
      <c r="C87" s="50"/>
      <c r="D87" s="18"/>
      <c r="E87" s="51"/>
      <c r="F87" s="20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80</v>
      </c>
      <c r="C88" s="50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81</v>
      </c>
      <c r="C89" s="50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82</v>
      </c>
      <c r="C90" s="50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83</v>
      </c>
      <c r="C91" s="50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84</v>
      </c>
      <c r="C92" s="15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85</v>
      </c>
      <c r="C93" s="3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86</v>
      </c>
      <c r="C94" s="3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87</v>
      </c>
      <c r="C95" s="3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88</v>
      </c>
      <c r="C96" s="3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48">
        <v>89</v>
      </c>
      <c r="C97" s="37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90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91</v>
      </c>
      <c r="C99" s="15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92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93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94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95</v>
      </c>
      <c r="C103" s="37"/>
      <c r="D103" s="18"/>
      <c r="E103" s="20"/>
      <c r="F103" s="20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96</v>
      </c>
      <c r="C104" s="37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97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98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99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100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101</v>
      </c>
      <c r="C109" s="15"/>
      <c r="D109" s="18"/>
      <c r="E109" s="16"/>
      <c r="F109" s="17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102</v>
      </c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103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/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/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/>
      <c r="C114" s="15"/>
      <c r="D114" s="18"/>
      <c r="E114" s="16"/>
      <c r="F114" s="17"/>
      <c r="G114" s="17"/>
      <c r="H114" s="17"/>
      <c r="I114" s="2" t="s">
        <v>31</v>
      </c>
      <c r="J114" s="2"/>
    </row>
    <row r="115" spans="1:10" s="1" customFormat="1" ht="15" customHeight="1" x14ac:dyDescent="0.3">
      <c r="A115" s="22" t="s">
        <v>15</v>
      </c>
      <c r="B115" s="23"/>
      <c r="C115" s="23"/>
      <c r="D115" s="24"/>
      <c r="E115" s="25">
        <f>SUM(E3:E114)</f>
        <v>1105</v>
      </c>
      <c r="F115" s="26">
        <f>SUM(F3:F114)</f>
        <v>10257.430000000022</v>
      </c>
      <c r="G115" s="26">
        <f>SUM(G3:G114)</f>
        <v>2000.5</v>
      </c>
      <c r="H115" s="26">
        <f>SUM(H3:H114)</f>
        <v>1822.9999999999991</v>
      </c>
      <c r="I115" s="2"/>
      <c r="J115" s="2"/>
    </row>
    <row r="116" spans="1:10" s="1" customFormat="1" ht="15" customHeight="1" x14ac:dyDescent="0.3">
      <c r="A116" s="33"/>
      <c r="B116" s="33"/>
      <c r="C116" s="33"/>
      <c r="D116" s="33"/>
      <c r="E116" s="34"/>
      <c r="F116" s="34"/>
      <c r="G116" s="34"/>
      <c r="H116" s="34"/>
      <c r="I116" s="2"/>
      <c r="J116" s="2"/>
    </row>
    <row r="117" spans="1:10" s="1" customFormat="1" ht="15" customHeight="1" x14ac:dyDescent="0.3">
      <c r="A117" s="22" t="s">
        <v>16</v>
      </c>
      <c r="B117" s="23"/>
      <c r="C117" s="23"/>
      <c r="D117" s="45"/>
      <c r="E117" s="26">
        <f>E115+Ausgaben!F175</f>
        <v>0</v>
      </c>
      <c r="F117" s="26">
        <f>F115+Ausgaben!G175</f>
        <v>2917.0400000000245</v>
      </c>
      <c r="G117" s="26">
        <f>G115+Ausgaben!H175</f>
        <v>2000.5</v>
      </c>
      <c r="H117" s="26">
        <f>H115+Ausgaben!I175</f>
        <v>1653.9699999999991</v>
      </c>
      <c r="I117" s="2"/>
      <c r="J117" s="2"/>
    </row>
    <row r="118" spans="1:10" s="1" customFormat="1" ht="15" customHeight="1" x14ac:dyDescent="0.3">
      <c r="A118" s="35"/>
      <c r="B118" s="35"/>
      <c r="C118" s="35"/>
      <c r="D118" s="35"/>
      <c r="E118" s="13"/>
      <c r="F118" s="13"/>
      <c r="G118" s="13"/>
      <c r="H118" s="13"/>
      <c r="I118" s="2"/>
      <c r="J118" s="2"/>
    </row>
    <row r="119" spans="1:10" s="1" customFormat="1" ht="15" customHeight="1" x14ac:dyDescent="0.3">
      <c r="A119" s="5" t="s">
        <v>17</v>
      </c>
      <c r="B119" s="5"/>
      <c r="C119" s="22"/>
      <c r="D119" s="27">
        <f>SUM(E117:H117)</f>
        <v>6571.5100000000239</v>
      </c>
      <c r="E119" s="16"/>
      <c r="F119" s="17"/>
      <c r="G119" s="17"/>
      <c r="H119" s="17"/>
      <c r="I119" s="2"/>
      <c r="J119" s="2"/>
    </row>
    <row r="120" spans="1:10" s="1" customFormat="1" ht="15" customHeight="1" x14ac:dyDescent="0.3">
      <c r="A120" s="36"/>
      <c r="B120" s="36"/>
      <c r="C120" s="36"/>
      <c r="D120" s="36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 t="s">
        <v>43</v>
      </c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ht="15" customHeight="1" x14ac:dyDescent="0.3">
      <c r="J180" s="2"/>
    </row>
  </sheetData>
  <autoFilter ref="A2:H111" xr:uid="{00000000-0009-0000-0000-000000000000}"/>
  <mergeCells count="1">
    <mergeCell ref="A1:H1"/>
  </mergeCells>
  <conditionalFormatting sqref="A98:A101">
    <cfRule type="cellIs" dxfId="51" priority="49" stopIfTrue="1" operator="lessThan">
      <formula>0</formula>
    </cfRule>
  </conditionalFormatting>
  <conditionalFormatting sqref="B87">
    <cfRule type="cellIs" dxfId="50" priority="191" stopIfTrue="1" operator="lessThan">
      <formula>0</formula>
    </cfRule>
  </conditionalFormatting>
  <conditionalFormatting sqref="C103:D104">
    <cfRule type="cellIs" dxfId="49" priority="44" stopIfTrue="1" operator="lessThan">
      <formula>0</formula>
    </cfRule>
  </conditionalFormatting>
  <conditionalFormatting sqref="D75:D77">
    <cfRule type="cellIs" dxfId="48" priority="13" stopIfTrue="1" operator="lessThan">
      <formula>0</formula>
    </cfRule>
  </conditionalFormatting>
  <conditionalFormatting sqref="D87:D93">
    <cfRule type="cellIs" dxfId="47" priority="8" stopIfTrue="1" operator="lessThan">
      <formula>0</formula>
    </cfRule>
  </conditionalFormatting>
  <conditionalFormatting sqref="D86:F86">
    <cfRule type="cellIs" dxfId="46" priority="9" stopIfTrue="1" operator="lessThan">
      <formula>0</formula>
    </cfRule>
  </conditionalFormatting>
  <conditionalFormatting sqref="D70:G74 E75:G75 E77:G77 G86:G87 G67 E68:G68">
    <cfRule type="cellIs" dxfId="45" priority="63" stopIfTrue="1" operator="lessThan">
      <formula>0</formula>
    </cfRule>
  </conditionalFormatting>
  <conditionalFormatting sqref="D78:G85">
    <cfRule type="cellIs" dxfId="44" priority="10" stopIfTrue="1" operator="lessThan">
      <formula>0</formula>
    </cfRule>
  </conditionalFormatting>
  <conditionalFormatting sqref="D105:G114">
    <cfRule type="cellIs" dxfId="43" priority="42" stopIfTrue="1" operator="lessThan">
      <formula>0</formula>
    </cfRule>
  </conditionalFormatting>
  <conditionalFormatting sqref="E24">
    <cfRule type="cellIs" dxfId="42" priority="69" stopIfTrue="1" operator="lessThan">
      <formula>0</formula>
    </cfRule>
  </conditionalFormatting>
  <conditionalFormatting sqref="E34:F38">
    <cfRule type="cellIs" dxfId="41" priority="33" stopIfTrue="1" operator="lessThan">
      <formula>0</formula>
    </cfRule>
  </conditionalFormatting>
  <conditionalFormatting sqref="E42:F43">
    <cfRule type="cellIs" dxfId="40" priority="7" stopIfTrue="1" operator="lessThan">
      <formula>0</formula>
    </cfRule>
  </conditionalFormatting>
  <conditionalFormatting sqref="E47:F47">
    <cfRule type="cellIs" dxfId="39" priority="29" stopIfTrue="1" operator="lessThan">
      <formula>0</formula>
    </cfRule>
  </conditionalFormatting>
  <conditionalFormatting sqref="E56:F61">
    <cfRule type="cellIs" dxfId="38" priority="3" stopIfTrue="1" operator="lessThan">
      <formula>0</formula>
    </cfRule>
  </conditionalFormatting>
  <conditionalFormatting sqref="E14:G14">
    <cfRule type="cellIs" dxfId="37" priority="279" stopIfTrue="1" operator="lessThan">
      <formula>0</formula>
    </cfRule>
  </conditionalFormatting>
  <conditionalFormatting sqref="E39:G41 G42:G48">
    <cfRule type="cellIs" dxfId="36" priority="31" stopIfTrue="1" operator="lessThan">
      <formula>0</formula>
    </cfRule>
  </conditionalFormatting>
  <conditionalFormatting sqref="E49:G50 G51:G53 E52:F53 F54:G54 G55 G57:G61">
    <cfRule type="cellIs" dxfId="35" priority="89" stopIfTrue="1" operator="lessThan">
      <formula>0</formula>
    </cfRule>
  </conditionalFormatting>
  <conditionalFormatting sqref="E65:G66">
    <cfRule type="cellIs" dxfId="34" priority="4" stopIfTrue="1" operator="lessThan">
      <formula>0</formula>
    </cfRule>
  </conditionalFormatting>
  <conditionalFormatting sqref="E88:G93 D94:G102">
    <cfRule type="cellIs" dxfId="33" priority="45" stopIfTrue="1" operator="lessThan">
      <formula>0</formula>
    </cfRule>
  </conditionalFormatting>
  <conditionalFormatting sqref="E3:H3 G103 E104:G104 D114:H114 E115:H179 D119">
    <cfRule type="cellIs" dxfId="32" priority="343" stopIfTrue="1" operator="lessThan">
      <formula>0</formula>
    </cfRule>
  </conditionalFormatting>
  <conditionalFormatting sqref="F25:G25">
    <cfRule type="cellIs" dxfId="31" priority="264" stopIfTrue="1" operator="lessThan">
      <formula>0</formula>
    </cfRule>
  </conditionalFormatting>
  <conditionalFormatting sqref="F62:G63">
    <cfRule type="cellIs" dxfId="30" priority="6" stopIfTrue="1" operator="lessThan">
      <formula>0</formula>
    </cfRule>
  </conditionalFormatting>
  <conditionalFormatting sqref="F76:G76">
    <cfRule type="cellIs" dxfId="29" priority="61" stopIfTrue="1" operator="lessThan">
      <formula>0</formula>
    </cfRule>
  </conditionalFormatting>
  <conditionalFormatting sqref="G4:G13 H4:H27 H29:H55 G56:H56 D64:G64 A97:C97 H57:H114 D4:D69">
    <cfRule type="cellIs" dxfId="28" priority="177" stopIfTrue="1" operator="lessThan">
      <formula>0</formula>
    </cfRule>
  </conditionalFormatting>
  <conditionalFormatting sqref="G15:G24">
    <cfRule type="cellIs" dxfId="27" priority="102" stopIfTrue="1" operator="lessThan">
      <formula>0</formula>
    </cfRule>
  </conditionalFormatting>
  <conditionalFormatting sqref="G26:G27">
    <cfRule type="cellIs" dxfId="26" priority="261" stopIfTrue="1" operator="lessThan">
      <formula>0</formula>
    </cfRule>
  </conditionalFormatting>
  <conditionalFormatting sqref="G29:G38">
    <cfRule type="cellIs" dxfId="25" priority="118" stopIfTrue="1" operator="lessThan">
      <formula>0</formula>
    </cfRule>
  </conditionalFormatting>
  <conditionalFormatting sqref="G28:H28">
    <cfRule type="cellIs" dxfId="24" priority="38" stopIfTrue="1" operator="lessThan">
      <formula>0</formula>
    </cfRule>
  </conditionalFormatting>
  <conditionalFormatting sqref="E67:F67">
    <cfRule type="cellIs" dxfId="1" priority="2" stopIfTrue="1" operator="lessThan">
      <formula>0</formula>
    </cfRule>
  </conditionalFormatting>
  <conditionalFormatting sqref="E69:G69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D3:D114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7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1"/>
  <sheetViews>
    <sheetView showGridLines="0" zoomScaleNormal="100" workbookViewId="0">
      <pane ySplit="2" topLeftCell="A132" activePane="bottomLeft" state="frozen"/>
      <selection pane="bottomLeft" activeCell="G119" sqref="G119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117</v>
      </c>
      <c r="D119" s="3"/>
      <c r="E119" s="18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118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119</v>
      </c>
      <c r="D121" s="3"/>
      <c r="E121" s="18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120</v>
      </c>
      <c r="D122" s="3"/>
      <c r="E122" s="18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121</v>
      </c>
      <c r="D123" s="3"/>
      <c r="E123" s="21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122</v>
      </c>
      <c r="D124" s="3"/>
      <c r="E124" s="21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123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124</v>
      </c>
      <c r="D126" s="3"/>
      <c r="E126" s="21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125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126</v>
      </c>
      <c r="D128" s="81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127</v>
      </c>
      <c r="D129" s="81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128</v>
      </c>
      <c r="D130" s="37"/>
      <c r="E130" s="21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129</v>
      </c>
      <c r="D131" s="3"/>
      <c r="E131" s="21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130</v>
      </c>
      <c r="D132" s="3"/>
      <c r="E132" s="21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131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132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133</v>
      </c>
      <c r="D135" s="3"/>
      <c r="E135" s="21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134</v>
      </c>
      <c r="D136" s="3"/>
      <c r="E136" s="82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135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136</v>
      </c>
      <c r="D138" s="81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137</v>
      </c>
      <c r="D139" s="81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138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139</v>
      </c>
      <c r="D141" s="3"/>
      <c r="E141" s="21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140</v>
      </c>
      <c r="D142" s="3"/>
      <c r="E142" s="21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141</v>
      </c>
      <c r="D143" s="3"/>
      <c r="E143" s="21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142</v>
      </c>
      <c r="D144" s="3"/>
      <c r="E144" s="21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143</v>
      </c>
      <c r="D145" s="3"/>
      <c r="E145" s="21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144</v>
      </c>
      <c r="D146" s="37"/>
      <c r="E146" s="21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145</v>
      </c>
      <c r="D147" s="3"/>
      <c r="E147" s="82"/>
      <c r="F147" s="19"/>
      <c r="G147" s="20"/>
      <c r="H147" s="20"/>
      <c r="I147" s="20"/>
      <c r="J147" s="4"/>
      <c r="K147" s="2"/>
    </row>
    <row r="148" spans="1:12" ht="15" customHeight="1" x14ac:dyDescent="0.3">
      <c r="A148" s="41"/>
      <c r="B148" s="14"/>
      <c r="C148" s="48">
        <v>146</v>
      </c>
      <c r="D148" s="3"/>
      <c r="E148" s="21"/>
      <c r="F148" s="16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147</v>
      </c>
      <c r="D149" s="3"/>
      <c r="E149" s="21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148</v>
      </c>
      <c r="D150" s="37"/>
      <c r="E150" s="21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148</v>
      </c>
      <c r="D151" s="37"/>
      <c r="E151" s="21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149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149.69999999999999</v>
      </c>
      <c r="D153" s="81"/>
      <c r="E153" s="82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151</v>
      </c>
      <c r="D154" s="81"/>
      <c r="E154" s="82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152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153</v>
      </c>
      <c r="D156" s="37"/>
      <c r="E156" s="21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154.03</v>
      </c>
      <c r="D157" s="37"/>
      <c r="E157" s="21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155.06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156.09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157.12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246" ht="15" customHeight="1" x14ac:dyDescent="0.3">
      <c r="A161" s="41"/>
      <c r="B161" s="14"/>
      <c r="C161" s="48">
        <v>158.15</v>
      </c>
      <c r="D161" s="37"/>
      <c r="E161" s="18"/>
      <c r="F161" s="19"/>
      <c r="G161" s="20"/>
      <c r="H161" s="20"/>
      <c r="I161" s="20"/>
      <c r="J161" s="4"/>
      <c r="K161" s="2"/>
      <c r="L161" s="2"/>
    </row>
    <row r="162" spans="1:246" ht="15" customHeight="1" x14ac:dyDescent="0.3">
      <c r="A162" s="41"/>
      <c r="B162" s="14"/>
      <c r="C162" s="48">
        <v>159.18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246" ht="15" customHeight="1" x14ac:dyDescent="0.3">
      <c r="A163" s="41"/>
      <c r="B163" s="14"/>
      <c r="C163" s="48">
        <v>160.21</v>
      </c>
      <c r="D163" s="37"/>
      <c r="E163" s="21"/>
      <c r="F163" s="20"/>
      <c r="G163" s="20"/>
      <c r="H163" s="20"/>
      <c r="I163" s="20"/>
      <c r="J163" s="4"/>
      <c r="K163" s="2"/>
      <c r="L163" s="2"/>
    </row>
    <row r="164" spans="1:246" ht="15" customHeight="1" x14ac:dyDescent="0.3">
      <c r="A164" s="41"/>
      <c r="B164" s="14"/>
      <c r="C164" s="48">
        <v>161.24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246" ht="15" customHeight="1" x14ac:dyDescent="0.3">
      <c r="A165" s="41"/>
      <c r="B165" s="14"/>
      <c r="C165" s="48">
        <v>162.27000000000001</v>
      </c>
      <c r="D165" s="3"/>
      <c r="E165" s="82"/>
      <c r="F165" s="19"/>
      <c r="G165" s="20"/>
      <c r="H165" s="20"/>
      <c r="I165" s="20"/>
      <c r="J165" s="4"/>
      <c r="K165" s="2"/>
      <c r="L165" s="2"/>
    </row>
    <row r="166" spans="1:246" ht="15" customHeight="1" x14ac:dyDescent="0.3">
      <c r="A166" s="41"/>
      <c r="B166" s="14"/>
      <c r="C166" s="48">
        <v>163.30000000000001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246" ht="15" customHeight="1" x14ac:dyDescent="0.3">
      <c r="A167" s="41"/>
      <c r="B167" s="14"/>
      <c r="C167" s="48">
        <v>164.33</v>
      </c>
      <c r="D167" s="37"/>
      <c r="E167" s="18"/>
      <c r="F167" s="19"/>
      <c r="G167" s="20"/>
      <c r="H167" s="20"/>
      <c r="I167" s="20"/>
      <c r="J167" s="4"/>
      <c r="K167" s="2"/>
      <c r="L167" s="2"/>
    </row>
    <row r="168" spans="1:246" ht="15" customHeight="1" x14ac:dyDescent="0.3">
      <c r="A168" s="41"/>
      <c r="B168" s="14"/>
      <c r="C168" s="48">
        <v>165.36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246" ht="15" customHeight="1" x14ac:dyDescent="0.3">
      <c r="A169" s="41"/>
      <c r="B169" s="14"/>
      <c r="C169" s="48">
        <v>166.39</v>
      </c>
      <c r="D169" s="15"/>
      <c r="E169" s="18"/>
      <c r="F169" s="19"/>
      <c r="G169" s="20"/>
      <c r="H169" s="20"/>
      <c r="I169" s="20"/>
      <c r="J169" s="4"/>
      <c r="K169" s="2"/>
      <c r="L169" s="2"/>
    </row>
    <row r="170" spans="1:246" ht="15" customHeight="1" x14ac:dyDescent="0.3">
      <c r="A170" s="41"/>
      <c r="B170" s="14"/>
      <c r="C170" s="48">
        <v>167.42</v>
      </c>
      <c r="D170" s="15"/>
      <c r="E170" s="18"/>
      <c r="F170" s="19"/>
      <c r="G170" s="20"/>
      <c r="H170" s="20"/>
      <c r="I170" s="20"/>
      <c r="J170" s="4"/>
      <c r="K170" s="2"/>
      <c r="L170" s="2"/>
    </row>
    <row r="171" spans="1:246" ht="15" customHeight="1" x14ac:dyDescent="0.3">
      <c r="A171" s="41"/>
      <c r="B171" s="14"/>
      <c r="C171" s="48">
        <v>168.45</v>
      </c>
      <c r="D171" s="15"/>
      <c r="E171" s="18"/>
      <c r="F171" s="19"/>
      <c r="G171" s="20"/>
      <c r="H171" s="20"/>
      <c r="I171" s="20"/>
      <c r="J171" s="44"/>
      <c r="K171" s="2"/>
      <c r="L171" s="2"/>
    </row>
    <row r="172" spans="1:246" ht="15" customHeight="1" x14ac:dyDescent="0.3">
      <c r="A172" s="41"/>
      <c r="B172" s="14"/>
      <c r="C172" s="48">
        <v>169.48</v>
      </c>
      <c r="D172" s="15"/>
      <c r="E172" s="18"/>
      <c r="F172" s="19"/>
      <c r="G172" s="20"/>
      <c r="H172" s="20"/>
      <c r="I172" s="20"/>
      <c r="J172" s="44"/>
      <c r="K172" s="2"/>
      <c r="L172" s="2"/>
    </row>
    <row r="173" spans="1:246" ht="15" customHeight="1" x14ac:dyDescent="0.3">
      <c r="A173" s="41"/>
      <c r="B173" s="14"/>
      <c r="C173" s="48">
        <v>170.51</v>
      </c>
      <c r="D173" s="15"/>
      <c r="E173" s="18"/>
      <c r="F173" s="19"/>
      <c r="G173" s="20"/>
      <c r="H173" s="20"/>
      <c r="I173" s="20"/>
      <c r="J173" s="44"/>
      <c r="K173" s="2"/>
      <c r="L173" s="2"/>
    </row>
    <row r="174" spans="1:246" ht="15" customHeight="1" x14ac:dyDescent="0.3">
      <c r="A174" s="41"/>
      <c r="B174" s="14"/>
      <c r="C174" s="48"/>
      <c r="D174" s="37"/>
      <c r="E174" s="18"/>
      <c r="F174" s="19"/>
      <c r="G174" s="20"/>
      <c r="H174" s="20"/>
      <c r="I174" s="20"/>
      <c r="J174" s="44"/>
      <c r="K174" s="2"/>
      <c r="L174" s="2"/>
      <c r="IL174"/>
    </row>
    <row r="175" spans="1:246" ht="15" customHeight="1" x14ac:dyDescent="0.3">
      <c r="A175" s="42"/>
      <c r="B175" s="28" t="s">
        <v>15</v>
      </c>
      <c r="C175" s="49"/>
      <c r="D175" s="29"/>
      <c r="E175" s="30"/>
      <c r="F175" s="31">
        <f>SUM(F3:F174)</f>
        <v>-1105</v>
      </c>
      <c r="G175" s="32">
        <f>SUM(G3:G174)</f>
        <v>-7340.3899999999976</v>
      </c>
      <c r="H175" s="32">
        <f>SUM(H3:H174)</f>
        <v>0</v>
      </c>
      <c r="I175" s="32">
        <f>SUM(I3:I174)</f>
        <v>-169.03</v>
      </c>
      <c r="J175" s="2"/>
      <c r="K175" s="2"/>
      <c r="L175" s="2"/>
    </row>
    <row r="176" spans="1:246" ht="15" customHeight="1" x14ac:dyDescent="0.3">
      <c r="A176" s="42"/>
      <c r="B176" s="17"/>
      <c r="C176" s="17"/>
      <c r="D176" s="17"/>
      <c r="E176" s="17"/>
      <c r="F176" s="17"/>
      <c r="G176" s="17"/>
      <c r="H176" s="17"/>
      <c r="I176" s="17"/>
      <c r="J176" s="2"/>
      <c r="K176" s="2"/>
      <c r="L176" s="2"/>
    </row>
    <row r="177" spans="1:12" ht="15" customHeight="1" x14ac:dyDescent="0.3">
      <c r="A177" s="42"/>
      <c r="B177" s="17"/>
      <c r="C177" s="17"/>
      <c r="D177" s="17"/>
      <c r="E177" s="17"/>
      <c r="F177" s="17"/>
      <c r="G177" s="17"/>
      <c r="H177" s="17"/>
      <c r="I177" s="17"/>
      <c r="J177" s="2"/>
      <c r="K177" s="2"/>
      <c r="L177" s="2"/>
    </row>
    <row r="178" spans="1:12" ht="15" customHeight="1" x14ac:dyDescent="0.3">
      <c r="A178" s="42"/>
      <c r="B178" s="17"/>
      <c r="C178" s="17"/>
      <c r="D178" s="17"/>
      <c r="E178" s="17"/>
      <c r="F178" s="17"/>
      <c r="G178" s="17"/>
      <c r="H178" s="17"/>
      <c r="I178" s="17"/>
      <c r="J178" s="2"/>
      <c r="K178" s="2"/>
      <c r="L178" s="2"/>
    </row>
    <row r="179" spans="1:12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12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12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12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12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12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12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12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12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12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12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12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12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12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L239" s="2"/>
    </row>
    <row r="240" spans="1:12" ht="15" customHeight="1" x14ac:dyDescent="0.3">
      <c r="B240" s="17"/>
      <c r="C240" s="17"/>
      <c r="I240" s="17"/>
    </row>
    <row r="241" spans="2:9" ht="15" customHeight="1" x14ac:dyDescent="0.3">
      <c r="B241" s="17"/>
      <c r="I241" s="17"/>
    </row>
  </sheetData>
  <autoFilter ref="B2:J170" xr:uid="{00000000-0009-0000-0000-000001000000}"/>
  <mergeCells count="1">
    <mergeCell ref="B1:I1"/>
  </mergeCells>
  <conditionalFormatting sqref="A3:A239">
    <cfRule type="cellIs" dxfId="23" priority="481" stopIfTrue="1" operator="lessThan">
      <formula>0</formula>
    </cfRule>
  </conditionalFormatting>
  <conditionalFormatting sqref="B127:B134">
    <cfRule type="cellIs" dxfId="22" priority="475" stopIfTrue="1" operator="lessThan">
      <formula>0</formula>
    </cfRule>
  </conditionalFormatting>
  <conditionalFormatting sqref="B136:B140">
    <cfRule type="cellIs" dxfId="21" priority="464" stopIfTrue="1" operator="lessThan">
      <formula>0</formula>
    </cfRule>
  </conditionalFormatting>
  <conditionalFormatting sqref="B153:B241">
    <cfRule type="cellIs" dxfId="20" priority="21" stopIfTrue="1" operator="lessThan">
      <formula>0</formula>
    </cfRule>
  </conditionalFormatting>
  <conditionalFormatting sqref="C152 C154 C156 C158 C160 C162 C164 C170 C172">
    <cfRule type="cellIs" dxfId="19" priority="22" stopIfTrue="1" operator="lessThan">
      <formula>0</formula>
    </cfRule>
  </conditionalFormatting>
  <conditionalFormatting sqref="C174:C240 J176 I176:I241">
    <cfRule type="cellIs" dxfId="18" priority="711" stopIfTrue="1" operator="lessThan">
      <formula>0</formula>
    </cfRule>
  </conditionalFormatting>
  <conditionalFormatting sqref="D130">
    <cfRule type="cellIs" dxfId="17" priority="479" stopIfTrue="1" operator="lessThan">
      <formula>0</formula>
    </cfRule>
  </conditionalFormatting>
  <conditionalFormatting sqref="D146">
    <cfRule type="cellIs" dxfId="16" priority="66" stopIfTrue="1" operator="lessThan">
      <formula>0</formula>
    </cfRule>
  </conditionalFormatting>
  <conditionalFormatting sqref="D150:D151">
    <cfRule type="cellIs" dxfId="15" priority="450" stopIfTrue="1" operator="lessThan">
      <formula>0</formula>
    </cfRule>
  </conditionalFormatting>
  <conditionalFormatting sqref="D155:D160">
    <cfRule type="cellIs" dxfId="14" priority="7" stopIfTrue="1" operator="lessThan">
      <formula>0</formula>
    </cfRule>
  </conditionalFormatting>
  <conditionalFormatting sqref="D161:E162 D163:D164 C166:D166 D167:E167 C168:D168">
    <cfRule type="cellIs" dxfId="13" priority="14" stopIfTrue="1" operator="lessThan">
      <formula>0</formula>
    </cfRule>
  </conditionalFormatting>
  <conditionalFormatting sqref="D174:E176">
    <cfRule type="cellIs" dxfId="12" priority="16" stopIfTrue="1" operator="lessThan">
      <formula>0</formula>
    </cfRule>
  </conditionalFormatting>
  <conditionalFormatting sqref="D176:H239">
    <cfRule type="cellIs" dxfId="11" priority="663" stopIfTrue="1" operator="lessThan">
      <formula>0</formula>
    </cfRule>
  </conditionalFormatting>
  <conditionalFormatting sqref="E3:E160">
    <cfRule type="cellIs" dxfId="10" priority="2" stopIfTrue="1" operator="lessThan">
      <formula>0</formula>
    </cfRule>
  </conditionalFormatting>
  <conditionalFormatting sqref="E163:E166">
    <cfRule type="cellIs" dxfId="9" priority="4" stopIfTrue="1" operator="lessThan">
      <formula>0</formula>
    </cfRule>
  </conditionalFormatting>
  <conditionalFormatting sqref="E168:E173">
    <cfRule type="cellIs" dxfId="8" priority="3" stopIfTrue="1" operator="lessThan">
      <formula>0</formula>
    </cfRule>
  </conditionalFormatting>
  <conditionalFormatting sqref="F62:F63">
    <cfRule type="cellIs" dxfId="7" priority="372" stopIfTrue="1" operator="lessThan">
      <formula>0</formula>
    </cfRule>
  </conditionalFormatting>
  <conditionalFormatting sqref="F66:F67">
    <cfRule type="cellIs" dxfId="6" priority="1" stopIfTrue="1" operator="lessThan">
      <formula>0</formula>
    </cfRule>
  </conditionalFormatting>
  <conditionalFormatting sqref="F96:F97">
    <cfRule type="cellIs" dxfId="5" priority="124" stopIfTrue="1" operator="lessThan">
      <formula>0</formula>
    </cfRule>
  </conditionalFormatting>
  <conditionalFormatting sqref="F114">
    <cfRule type="cellIs" dxfId="3" priority="8" stopIfTrue="1" operator="lessThan">
      <formula>0</formula>
    </cfRule>
  </conditionalFormatting>
  <conditionalFormatting sqref="F148">
    <cfRule type="cellIs" dxfId="2" priority="23" stopIfTrue="1" operator="lessThan">
      <formula>0</formula>
    </cfRule>
  </conditionalFormatting>
  <dataValidations count="2">
    <dataValidation type="list" allowBlank="1" showInputMessage="1" showErrorMessage="1" sqref="E120 E123:E174 E3:E51 E53:E118" xr:uid="{00000000-0002-0000-0100-000000000000}">
      <formula1>$L$1:$L$19</formula1>
    </dataValidation>
    <dataValidation type="list" allowBlank="1" showInputMessage="1" showErrorMessage="1" sqref="E119 E121:E122 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2025-10-20T15:53:37Z</dcterms:modified>
</cp:coreProperties>
</file>